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Summary" sheetId="1" state="visible" r:id="rId3"/>
    <sheet name="Calendar" sheetId="2" state="visible" r:id="rId4"/>
    <sheet name="University Tiers" sheetId="3" state="visible" r:id="rId5"/>
    <sheet name="Budget" sheetId="4" state="visible" r:id="rId6"/>
    <sheet name="KPI Tracker" sheetId="5" state="visible" r:id="rId7"/>
    <sheet name="Creative Library" sheetId="6" state="visible" r:id="rId8"/>
    <sheet name="Weekly Stories" sheetId="7" state="visible" r:id="rId9"/>
    <sheet name="Legend" sheetId="8" state="visible" r:id="rId10"/>
  </sheets>
  <definedNames>
    <definedName function="false" hidden="true" localSheetId="1" name="_xlnm._FilterDatabase" vbProcedure="false">Calendar!$A$1:$AC$91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Assumption — replace with your real monthly ad budget.</t>
        </r>
      </text>
    </comment>
    <comment ref="B5" authorId="0">
      <text>
        <r>
          <rPr>
            <sz val="10"/>
            <rFont val="Arial"/>
            <family val="2"/>
          </rPr>
          <t xml:space="preserve">Assumption — replace with your real monthly ad budget.</t>
        </r>
      </text>
    </comment>
    <comment ref="B6" authorId="0">
      <text>
        <r>
          <rPr>
            <sz val="10"/>
            <rFont val="Arial"/>
            <family val="2"/>
          </rPr>
          <t xml:space="preserve">Assumption — replace with your real monthly ad budget.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Example row with illustrative values — overwrite with real weekly numbers. Delete if not needed.</t>
        </r>
      </text>
    </comment>
  </commentList>
</comments>
</file>

<file path=xl/sharedStrings.xml><?xml version="1.0" encoding="utf-8"?>
<sst xmlns="http://schemas.openxmlformats.org/spreadsheetml/2006/main" count="2885" uniqueCount="1209">
  <si>
    <t xml:space="preserve">DegreeComplete.in — 90-day Instagram &amp; performance marketing system</t>
  </si>
  <si>
    <t xml:space="preserve">Prepared 03-Sep-2026 · Read DegreeComplete_90Day_Strategy.md for the full reasoning. Blue text = inputs you may change; formulas are black.</t>
  </si>
  <si>
    <t xml:space="preserve">Course priority</t>
  </si>
  <si>
    <t xml:space="preserve">MBA 30% · BBA 15% · BCA 15% · MCA 12% · BA 10% · B.Com 6% · MA/M.Com/M.Sc 6% · B.Sc 2% · Diploma/Certificate/Executive/DBA 4% (re-set on Day 30 from CRM)</t>
  </si>
  <si>
    <t xml:space="preserve">University priority</t>
  </si>
  <si>
    <t xml:space="preserve">A: NMIMS, Manipal Jaipur, Amity, LPU, Chandigarh, D.Y. Patil Navi Mumbai, D.Y. Patil Pune, Sikkim Manipal · B: UPES, Amrita, VIT, Bennett, Christ, Galgotias, Alliance, VGU, GLA, Parul, Uttaranchal · C: KUK, Andhra, Mangalayatan (ODL), ADTU*, Shoolini*, DBA/OPJ (executive) · Excluded: Sharda (on hold), SRM (not available)</t>
  </si>
  <si>
    <t xml:space="preserve">Audience</t>
  </si>
  <si>
    <t xml:space="preserve">A 12th pass 18–24 (30%) · B graduates 21–34 (35%) · C working 24–40 (25%) · D academic gap 21–34 (10%)</t>
  </si>
  <si>
    <t xml:space="preserve">Geography</t>
  </si>
  <si>
    <t xml:space="preserve">Days 1–30: Mumbai, Thane, Navi Mumbai, Pune, Nagpur, Nashik, Chhatrapati Sambhajinagar · Days 31–90 (Online only): expansion one city at a time (Delhi NCR, Bengaluru, Hyderabad, Ahmedabad, Kolkata, Jaipur, Lucknow, Patna) · ODL: check jurisdiction first</t>
  </si>
  <si>
    <t xml:space="preserve">Age ad sets</t>
  </si>
  <si>
    <t xml:space="preserve">UG 18–24 · PG 21–34 · Working 24–40 · test bands 18–24 / 21–30 / 25–34 / 30–40 · never below 18</t>
  </si>
  <si>
    <t xml:space="preserve">Content mix</t>
  </si>
  <si>
    <t xml:space="preserve">60 organic + 30 performance ads; ~35 reel-format days, 26 carousels, 28 static, 6 story sets</t>
  </si>
  <si>
    <t xml:space="preserve">Paid mix</t>
  </si>
  <si>
    <t xml:space="preserve">6 awareness · 4 engagement · 4 traffic · 10 lead gen (4 in test week) · 3 retargeting · 3 conversion</t>
  </si>
  <si>
    <t xml:space="preserve">Budget</t>
  </si>
  <si>
    <t xml:space="preserve">See Budget sheet: LOW/MEDIUM/HIGH scenarios and phase splits (Awareness / Lead gen / Retargeting / Conversion)</t>
  </si>
  <si>
    <t xml:space="preserve">Funnel</t>
  </si>
  <si>
    <t xml:space="preserve">Cold → Awareness → Video → Engagement → Website → Course page → Eligibility → Lead → WhatsApp/Call → Counselling → Application → Admission</t>
  </si>
  <si>
    <t xml:space="preserve">Decisive KPIs</t>
  </si>
  <si>
    <t xml:space="preserve">Cost per QUALIFIED lead (from Day 7) → Cost per application (Day 30) → Cost per admission (Day 60+)</t>
  </si>
  <si>
    <t xml:space="preserve">Landing pages</t>
  </si>
  <si>
    <t xml:space="preserve">MBA /online-mba · BBA /online-bba · BCA /online-bca · MCA /online-mca · Graduation /online-degree-after-12th (add /graduation redirect) · Compare /compare · Eligibility /find-course (add /check-eligibility redirect)</t>
  </si>
  <si>
    <t xml:space="preserve">Day</t>
  </si>
  <si>
    <t xml:space="preserve">Phase</t>
  </si>
  <si>
    <t xml:space="preserve">Paid/Organic</t>
  </si>
  <si>
    <t xml:space="preserve">Content format</t>
  </si>
  <si>
    <t xml:space="preserve">Course</t>
  </si>
  <si>
    <t xml:space="preserve">Category</t>
  </si>
  <si>
    <t xml:space="preserve">Objective</t>
  </si>
  <si>
    <t xml:space="preserve">Age</t>
  </si>
  <si>
    <t xml:space="preserve">Hook</t>
  </si>
  <si>
    <t xml:space="preserve">Post idea</t>
  </si>
  <si>
    <t xml:space="preserve">Caption</t>
  </si>
  <si>
    <t xml:space="preserve">CTA</t>
  </si>
  <si>
    <t xml:space="preserve">WhatsApp keyword</t>
  </si>
  <si>
    <t xml:space="preserve">Hashtags</t>
  </si>
  <si>
    <t xml:space="preserve">Image/video concept</t>
  </si>
  <si>
    <t xml:space="preserve">AI image prompt</t>
  </si>
  <si>
    <t xml:space="preserve">Campaign objective</t>
  </si>
  <si>
    <t xml:space="preserve">Landing page</t>
  </si>
  <si>
    <t xml:space="preserve">Primary KPI</t>
  </si>
  <si>
    <t xml:space="preserve">Secondary KPI</t>
  </si>
  <si>
    <t xml:space="preserve">Purpose tags</t>
  </si>
  <si>
    <t xml:space="preserve">Content class</t>
  </si>
  <si>
    <t xml:space="preserve">Story ideas</t>
  </si>
  <si>
    <t xml:space="preserve">Status (edit)</t>
  </si>
  <si>
    <t xml:space="preserve">Posted on (edit)</t>
  </si>
  <si>
    <t xml:space="preserve">Notes (edit)</t>
  </si>
  <si>
    <t xml:space="preserve">Phase 1 · Brand &amp; trust</t>
  </si>
  <si>
    <t xml:space="preserve">ORGANIC</t>
  </si>
  <si>
    <t xml:space="preserve">Static</t>
  </si>
  <si>
    <t xml:space="preserve">General</t>
  </si>
  <si>
    <t xml:space="preserve">Brand</t>
  </si>
  <si>
    <t xml:space="preserve">Awareness / Followers</t>
  </si>
  <si>
    <t xml:space="preserve">TOFU</t>
  </si>
  <si>
    <t xml:space="preserve">All segments</t>
  </si>
  <si>
    <t xml:space="preserve">18–40</t>
  </si>
  <si>
    <t xml:space="preserve">Maharashtra-first; India-wide reach welcome (Online programs)</t>
  </si>
  <si>
    <t xml:space="preserve">Ek platform, 26+ universities, 300+ programs — aur zero confusion.</t>
  </si>
  <si>
    <t xml:space="preserve">Brand launch post: the seal, the promise and what the platform does in one line each.</t>
  </si>
  <si>
    <t xml:space="preserve">Ek platform, 26+ universities, 300+ programs — aur zero confusion.
DegreeComplete.in is the student platform of Mumbai Institute for Online &amp; Distance Learning. Here you can explore online and distance degree programs from partner universities, compare courses and fees, check eligibility and apply with guidance. We are not a university — we help you choose the right one and stay with you till your degree.
Guidance is based on your qualification and each university's current program eligibility. Fees are shown exactly as published by the university.
Follow @degreecomplete.in and save this post. · DM/WhatsApp “HELLO” · 98 33 07 44 76</t>
  </si>
  <si>
    <t xml:space="preserve">Follow @degreecomplete.in and save this post.</t>
  </si>
  <si>
    <t xml:space="preserve">HELLO</t>
  </si>
  <si>
    <t xml:space="preserve">#DegreeComplete #EducationGuidance #OnlineEducation #TransparentFees #StudentFirst #MumbaiInstitute #DistanceLearning #UGCDEB #VerifyBeforeYouEnrol #HigherEducation</t>
  </si>
  <si>
    <t xml:space="preserve">Institutional seal centred on white with a thin gold rule beneath; below, a confident young Indian woman and a man in office wear looking at a laptop together, navy background band at bottom for headline.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</si>
  <si>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Institutional seal centred on white with a thin gold rule beneath; below, a confident young Indian woman and a man in office wear looking at a laptop together, navy background band at bottom for headline.</t>
  </si>
  <si>
    <t xml:space="preserve">—</t>
  </si>
  <si>
    <t xml:space="preserve">/</t>
  </si>
  <si>
    <t xml:space="preserve">Followers</t>
  </si>
  <si>
    <t xml:space="preserve">Profile visits</t>
  </si>
  <si>
    <t xml:space="preserve">[REACH] [FOLLOWERS]</t>
  </si>
  <si>
    <t xml:space="preserve">FOLLOWER CONTENT</t>
  </si>
  <si>
    <t xml:space="preserve">Welcome poll: “आप क्या करना चाहते हैं?” Graduation complete / MBA / Career switch / Not sure</t>
  </si>
  <si>
    <t xml:space="preserve">Planned</t>
  </si>
  <si>
    <t xml:space="preserve">Reel</t>
  </si>
  <si>
    <t xml:space="preserve">Trust</t>
  </si>
  <si>
    <t xml:space="preserve">Awareness</t>
  </si>
  <si>
    <t xml:space="preserve">12th pass + graduates</t>
  </si>
  <si>
    <t xml:space="preserve">18–34</t>
  </si>
  <si>
    <t xml:space="preserve">Online degree लेने से पहले ये 3 चीज़ें verify करो.</t>
  </si>
  <si>
    <t xml:space="preserve">15-second reel, text-on-screen: 1) University + program recognition for your session 2) Fee breakup in writing 3) Who supports you after admission.</t>
  </si>
  <si>
    <t xml:space="preserve">Online degree लेने से पहले ये 3 चीज़ें verify करो.
Ek galat university choice saalon ka nuksaan kar sakti hai. Enrol karne se pehle university aur program ki current recognition/entitlement apne academic session ke liye verify karo, fee ka pura breakup likhit mein lo, aur poocho ki admission ke baad support kaun dega. Yahi teen cheezein hum har student ke liye pehle check karte hain.
Guidance is based on your qualification and each university's current program eligibility. Fees are shown exactly as published by the university.
Save this reel. Share it with someone who is choosing a course. · DM/WhatsApp “VERIFY” · 98 33 07 44 76</t>
  </si>
  <si>
    <t xml:space="preserve">Save this reel. Share it with someone who is choosing a course.</t>
  </si>
  <si>
    <t xml:space="preserve">VERIFY</t>
  </si>
  <si>
    <t xml:space="preserve">Vertical: close-up of hands holding a phone showing a checklist, blurred study desk behind, navy and gold text card overlay area on top third.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</si>
  <si>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close-up of hands holding a phone showing a checklist, blurred study desk behind, navy and gold text card overlay area on top third.</t>
  </si>
  <si>
    <t xml:space="preserve">/eligibility (form → /find-course)</t>
  </si>
  <si>
    <t xml:space="preserve">Reach</t>
  </si>
  <si>
    <t xml:space="preserve">Saves</t>
  </si>
  <si>
    <t xml:space="preserve">Carousel</t>
  </si>
  <si>
    <t xml:space="preserve">Online vs Distance</t>
  </si>
  <si>
    <t xml:space="preserve">Engagement / Followers</t>
  </si>
  <si>
    <t xml:space="preserve">Online और Distance — actual difference क्या है?</t>
  </si>
  <si>
    <t xml:space="preserve">7-slide carousel: mode of classes, exams, who it suits, geographic rules differ (ODL has jurisdiction rules), same degree value when recognised, how to decide.</t>
  </si>
  <si>
    <t xml:space="preserve">Online और Distance — actual difference क्या है?
Online mode: classes, material and exams on an LMS, mostly remote-proctored. Distance (ODL): printed/online material with centre-based exams at many universities, and territorial rules can apply. Dono mein degree university hi deti hai. Aapke liye kaunsa sahi hai, yeh aapki location, schedule aur course par depend karta hai.
Guidance is based on your qualification and each university's current program eligibility. Fees are shown exactly as published by the university.
Comment “ONLINE” or “DISTANCE” and we will tell you what fits your situation. · DM/WhatsApp “MODE” · 98 33 07 44 76</t>
  </si>
  <si>
    <t xml:space="preserve">Comment “ONLINE” or “DISTANCE” and we will tell you what fits your situation.</t>
  </si>
  <si>
    <t xml:space="preserve">MODE</t>
  </si>
  <si>
    <t xml:space="preserve">#DegreeComplete #OnlineEducation #DistanceLearning #OnlineDegree #StudyFromHome #HigherEducationIndia #CompleteYourEducation #MumbaiEducation #CareerGrowth #UGCDEB</t>
  </si>
  <si>
    <t xml:space="preserve">Split composition: left half a student on a laptop at home, right half a student with printed books; navy divider with gold labels ONLINE and DISTANCE.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</si>
  <si>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Split composition: left half a student on a laptop at home, right half a student with printed books; navy divider with gold labels ONLINE and DISTANCE.</t>
  </si>
  <si>
    <t xml:space="preserve">/universities</t>
  </si>
  <si>
    <t xml:space="preserve">Comments</t>
  </si>
  <si>
    <t xml:space="preserve">[FOLLOWERS] [ENGAGEMENT]</t>
  </si>
  <si>
    <t xml:space="preserve">PERFORMANCE AD</t>
  </si>
  <si>
    <t xml:space="preserve">Lead Ad (Reel)</t>
  </si>
  <si>
    <t xml:space="preserve">MBA</t>
  </si>
  <si>
    <t xml:space="preserve">MBA · Working professional</t>
  </si>
  <si>
    <t xml:space="preserve">Lead</t>
  </si>
  <si>
    <t xml:space="preserve">MOFU</t>
  </si>
  <si>
    <t xml:space="preserve">Graduates in jobs</t>
  </si>
  <si>
    <t xml:space="preserve">24–34</t>
  </si>
  <si>
    <t xml:space="preserve">Mumbai, Thane, Navi Mumbai, Pune, Nagpur, Nashik, Chhatrapati Sambhajinagar</t>
  </si>
  <si>
    <t xml:space="preserve">Job के साथ MBA — बिना career रोके.</t>
  </si>
  <si>
    <t xml:space="preserve">TEST CREATIVE 1 of 4. 20-sec vertical: professional at desk → phone shows program list → “Check eligibility in 2 minutes”. Instant form with qualification + city + course.</t>
  </si>
  <si>
    <t xml:space="preserve">Job के साथ MBA — बिना career रोके.
Working professional ho aur MBA karna chahte ho? Partner universities ke Online MBA programs mein classes recorded/live online hoti hain, exams online, aur most universities mein entrance exam nahi hai (SOURCE: admission master). Fees ₹62,000 se ₹3 lakh tak range karti hain, university ke hisaab se (SOURCE, verify current). Pehle apni eligibility check karo, phir decide karo.
Guidance is based on your qualification and each university's current program eligibility. Fees are shown exactly as published by the university.
Check My Eligibility · DM/WhatsApp “MBA” · 98 33 07 44 76</t>
  </si>
  <si>
    <t xml:space="preserve">Check My Eligibility</t>
  </si>
  <si>
    <t xml:space="preserve">#OnlineMBA #DistanceMBA #MBAWhileWorking #MBAIndia #WorkingProfessionals #CareerUpgrade #DegreeComplete #OnlineEducation #MBAAdmission #StudyWhileWorking</t>
  </si>
  <si>
    <t xml:space="preserve">Vertical: 28-year-old Indian professional in a modern office at dusk, laptop open, phone in hand, calm focused expression; navy overlay band with gold accent line.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</si>
  <si>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28-year-old Indian professional in a modern office at dusk, laptop open, phone in hand, calm focused expression; navy overlay band with gold accent line.</t>
  </si>
  <si>
    <t xml:space="preserve">Leads (instant form) — Test A</t>
  </si>
  <si>
    <t xml:space="preserve">/online-mba</t>
  </si>
  <si>
    <t xml:space="preserve">Cost per qualified lead</t>
  </si>
  <si>
    <t xml:space="preserve">CTR</t>
  </si>
  <si>
    <t xml:space="preserve">[LEAD]</t>
  </si>
  <si>
    <t xml:space="preserve">LEAD CONTENT</t>
  </si>
  <si>
    <t xml:space="preserve">Lead Ad (Static)</t>
  </si>
  <si>
    <t xml:space="preserve">BBA</t>
  </si>
  <si>
    <t xml:space="preserve">BBA · 12th pass</t>
  </si>
  <si>
    <t xml:space="preserve">12th pass, not in college</t>
  </si>
  <si>
    <t xml:space="preserve">18–24</t>
  </si>
  <si>
    <t xml:space="preserve">12th के बाद graduation छूट गई? Online BBA घर से.</t>
  </si>
  <si>
    <t xml:space="preserve">TEST CREATIVE 2 of 4. Static 4:5 with three facts: 3 years, no entrance exam, study from home. Instant form.</t>
  </si>
  <si>
    <t xml:space="preserve">12th के बाद graduation छूट गई? Online BBA घर से.
12th ke baad college join nahi kar paaye ya chhod di? Online BBA se graduation ghar se complete karo — 3 saal ka UGC-recognised degree program partner universities ke saath, most mein bina entrance exam (SOURCE). Documents aur eligibility hum pehle check karte hain, phir application.
Guidance is based on your qualification and each university's current program eligibility. Fees are shown exactly as published by the university.
Check My Eligibility · DM/WhatsApp “BBA” · 98 33 07 44 76</t>
  </si>
  <si>
    <t xml:space="preserve">#OnlineBBA #BBA #After12th #12thPass #GraduationFromHome #OnlineDegree #DegreeComplete #ManagementDegree #CompleteYourGraduation #StudyFromHome</t>
  </si>
  <si>
    <t xml:space="preserve">Young Indian man, 19–20, at a small home study table with a laptop, sunlight from window, hopeful expression; clean white wall, navy headline block.</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</si>
  <si>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Young Indian man, 19–20, at a small home study table with a laptop, sunlight from window, hopeful expression; clean white wall, navy headline block.</t>
  </si>
  <si>
    <t xml:space="preserve">Leads (instant form) — Test B</t>
  </si>
  <si>
    <t xml:space="preserve">/online-bba</t>
  </si>
  <si>
    <t xml:space="preserve">BCA</t>
  </si>
  <si>
    <t xml:space="preserve">BCA · Tech career</t>
  </si>
  <si>
    <t xml:space="preserve">12th pass, tech-inclined</t>
  </si>
  <si>
    <t xml:space="preserve">IT career चाहिए? 12th के बाद Online BCA.</t>
  </si>
  <si>
    <t xml:space="preserve">TEST CREATIVE 3 of 4. Static with specialization chips (AI, Data Science, Cloud, Cyber Security — SOURCE: partner catalogue).</t>
  </si>
  <si>
    <t xml:space="preserve">IT career चाहिए? 12th के बाद Online BCA.
Coding, data ya cyber security mein career banana hai? Online BCA 12th ke baad shuru ho sakta hai, aur partner universities AI, Data Science, Cloud aur Cyber Security jaise specializations offer karti hain (SOURCE). Kuch universities 10+2 mein Maths prefer karti hain — hum pehle check karte hain aap eligible ho ya nahi.
Guidance is based on your qualification and each university's current program eligibility. Fees are shown exactly as published by the university.
Check My Eligibility · DM/WhatsApp “BCA” · 98 33 07 44 76</t>
  </si>
  <si>
    <t xml:space="preserve">#OnlineBCA #BCA #ITCareer #After12th #TechCareer #ComputerApplications #DegreeComplete #OnlineDegree #CodingCareer #12thPass</t>
  </si>
  <si>
    <t xml:space="preserve">Indian teenager coding on a laptop, second screen with abstract code (no readable text), dark navy desk setup with a single warm lamp; gold accent stripe.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</si>
  <si>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teenager coding on a laptop, second screen with abstract code (no readable text), dark navy desk setup with a single warm lamp; gold accent stripe.</t>
  </si>
  <si>
    <t xml:space="preserve">Leads (instant form) — Test C</t>
  </si>
  <si>
    <t xml:space="preserve">/online-bca</t>
  </si>
  <si>
    <t xml:space="preserve">BA / B.Com</t>
  </si>
  <si>
    <t xml:space="preserve">Graduation completion</t>
  </si>
  <si>
    <t xml:space="preserve">Academic gap, working</t>
  </si>
  <si>
    <t xml:space="preserve">21–34</t>
  </si>
  <si>
    <t xml:space="preserve">Graduation बीच में छूट गई? अब घर से complete करो.</t>
  </si>
  <si>
    <t xml:space="preserve">TEST CREATIVE 4 of 4. 15-sec reel: “Job, family, responsibilities — graduation reh gayi. Ab Online BA / B.Com ghar se. Eligibility check free.”</t>
  </si>
  <si>
    <t xml:space="preserve">Graduation बीच में छूट गई? अब घर से complete करो.
Kaam, ghar ya paise ki wajah se graduation adhuri reh gayi? Online BA aur B.Com se aap ghar se graduate ho sakte ho — 12th pass eligibility, most universities mein bina entrance exam (SOURCE). Aapki academic history ke hisaab se hum batayenge kaunsa option open hai. Har case same nahi hota, isliye pehle eligibility check.
Guidance is based on your qualification and each university's current program eligibility. Fees are shown exactly as published by the university.
Check My Eligibility · DM/WhatsApp “GRADUATION” · 98 33 07 44 76</t>
  </si>
  <si>
    <t xml:space="preserve">GRADUATION</t>
  </si>
  <si>
    <t xml:space="preserve">#CompleteYourGraduation #OnlineBA #OnlineBCom #GraduationFromHome #AcademicGap #12thPass #DegreeComplete #DistanceEducation #SecondChance #StudyWhileWorking</t>
  </si>
  <si>
    <t xml:space="preserve">Vertical: Indian woman, late 20s, in a kitchen-side study corner at night with a laptop, child's drawing on the wall; warm but composed lighting; navy caption zone.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</si>
  <si>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woman, late 20s, in a kitchen-side study corner at night with a laptop, child's drawing on the wall; warm but composed lighting; navy caption zone.</t>
  </si>
  <si>
    <t xml:space="preserve">Leads (instant form) — Test D</t>
  </si>
  <si>
    <t xml:space="preserve">/online-degree-after-12th (alias /graduation)</t>
  </si>
  <si>
    <t xml:space="preserve">Qualified lead rate</t>
  </si>
  <si>
    <t xml:space="preserve">Who we are</t>
  </si>
  <si>
    <t xml:space="preserve">Trust / Followers</t>
  </si>
  <si>
    <t xml:space="preserve">हम university नहीं हैं — और यही हमारी strength है.</t>
  </si>
  <si>
    <t xml:space="preserve">6 slides: what we are (guidance + admission support), what we are not (not a university, no degree from us), what you get (compare, eligibility, documents, tracking), what we never do (guarantee jobs/admission).</t>
  </si>
  <si>
    <t xml:space="preserve">हम university नहीं हैं — और यही हमारी strength है.
Mumbai Institute for Online &amp; Distance Learning ek guidance aur admission-support platform hai. Degree university deti hai; hum aapko sahi university aur course chunne, documents verify karne, apply karne aur degree tak track karne mein madad karte hain. Hum job, salary ya admission ki guarantee nahi dete — hum sach batate hain.
Guidance is based on your qualification and each university's current program eligibility. Fees are shown exactly as published by the university.
Follow for honest education guidance. · DM/WhatsApp “HELLO” · 98 33 07 44 76</t>
  </si>
  <si>
    <t xml:space="preserve">Follow for honest education guidance.</t>
  </si>
  <si>
    <t xml:space="preserve">Counsellor (Indian woman, 30s, formal) explaining on a tablet to a student across a clean white desk; seal subtly on the wall; navy-gold typography zone.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</si>
  <si>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Counsellor (Indian woman, 30s, formal) explaining on a tablet to a student across a clean white desk; seal subtly on the wall; navy-gold typography zone.</t>
  </si>
  <si>
    <t xml:space="preserve">[FOLLOWERS] [REACH]</t>
  </si>
  <si>
    <t xml:space="preserve">TRUST CONTENT</t>
  </si>
  <si>
    <t xml:space="preserve">Career</t>
  </si>
  <si>
    <t xml:space="preserve">Working, 12th pass</t>
  </si>
  <si>
    <t xml:space="preserve">3 reasons your incomplete graduation is holding your career back.</t>
  </si>
  <si>
    <t xml:space="preserve">Talking-head style reel with subtitles: eligibility for promotions/govt exams, salary bands often tied to degree, switching companies needs a degree on paper.</t>
  </si>
  <si>
    <t xml:space="preserve">3 reasons your incomplete graduation is holding your career back.
Kai companies aur government exams mein graduation minimum eligibility hai. Bina degree ke promotion rukti hai, naye offers kam aate hain, aur higher studies (MBA/MCA) ke darwaze band rehte hain. Achhi baat: graduation ab ghar se, job ke saath complete ho sakti hai.
Guidance is based on your qualification and each university's current program eligibility. Fees are shown exactly as published by the university.
Save and send this to a friend who needs it. · DM/WhatsApp “GRADUATION” · 98 33 07 44 76</t>
  </si>
  <si>
    <t xml:space="preserve">Save and send this to a friend who needs it.</t>
  </si>
  <si>
    <t xml:space="preserve">Vertical: confident Indian man, 30, in a city commute setting (train window), subtle motion blur, thoughtful; navy subtitle band.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</si>
  <si>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confident Indian man, 30, in a city commute setting (train window), subtle motion blur, thoughtful; navy subtitle band.</t>
  </si>
  <si>
    <t xml:space="preserve">Shares</t>
  </si>
  <si>
    <t xml:space="preserve">Trust · Fees</t>
  </si>
  <si>
    <t xml:space="preserve">All</t>
  </si>
  <si>
    <t xml:space="preserve">Fees छिपाकर नहीं, पूरी लिखकर दिखाते हैं.</t>
  </si>
  <si>
    <t xml:space="preserve">Screenshot-style graphic of a program fee card: registration, exam, tuition, plans — with “exactly as published by the university”.</t>
  </si>
  <si>
    <t xml:space="preserve">Fees छिपाकर नहीं, पूरी लिखकर दिखाते हैं.
Har program page par registration fee, exam fee, tuition aur payment plans alag-alag dikhte hain — jaise university ne publish kiya hai. Koi hidden charge nahi, aur fees aap seedha university ko pay karte ho. Pehle se pata ho toh decision aasaan hota hai.
Guidance is based on your qualification and each university's current program eligibility. Fees are shown exactly as published by the university.
Explore Courses at DegreeComplete.in · DM/WhatsApp “FEES” · 98 33 07 44 76</t>
  </si>
  <si>
    <t xml:space="preserve">Explore Courses at DegreeComplete.in</t>
  </si>
  <si>
    <t xml:space="preserve">FEES</t>
  </si>
  <si>
    <t xml:space="preserve">Flat-lay of a printed fee breakup sheet, pen and phone on a white desk; gold paperclip; navy header block.</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</si>
  <si>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Flat-lay of a printed fee breakup sheet, pen and phone on a white desk; gold paperclip; navy header block.</t>
  </si>
  <si>
    <t xml:space="preserve">Link clicks</t>
  </si>
  <si>
    <t xml:space="preserve">[WEBSITE TRAFFIC] [REACH]</t>
  </si>
  <si>
    <t xml:space="preserve">Myth vs Fact</t>
  </si>
  <si>
    <t xml:space="preserve">Myth vs Fact: Online degree की value कम होती है?</t>
  </si>
  <si>
    <t xml:space="preserve">5 myths: online degree is 'less', anyone can enrol from anywhere in ODL, you get a degree without exams, all universities are same, an agent can 'fix' eligibility. Each with a careful fact.</t>
  </si>
  <si>
    <t xml:space="preserve">Myth vs Fact: Online degree की value कम होती है?
Fact: recognised online/ODL degrees university se hi milti hain, exams hoti hain, aur eligibility rules real hain. ODL mein territorial rules apply ho sakte hain; online mein bhi university ke rules chalte hain. Koi bhi 'eligibility fix' nahi kar sakta — sirf sahi course match kiya ja sakta hai.
Guidance is based on your qualification and each university's current program eligibility. Fees are shown exactly as published by the university.
Comment MYTH to get the full guide. · DM/WhatsApp “MYTH” · 98 33 07 44 76</t>
  </si>
  <si>
    <t xml:space="preserve">Comment MYTH to get the full guide.</t>
  </si>
  <si>
    <t xml:space="preserve">MYTH</t>
  </si>
  <si>
    <t xml:space="preserve">Two-tone card: left navy 'MYTH' with a crossed icon, right white 'FACT' with a gold tick; Indian student silhouette reading.</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</si>
  <si>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Two-tone card: left navy 'MYTH' with a crossed icon, right white 'FACT' with a gold tick; Indian student silhouette reading.</t>
  </si>
  <si>
    <t xml:space="preserve">[ENGAGEMENT] [FOLLOWERS]</t>
  </si>
  <si>
    <t xml:space="preserve">Behind the scenes</t>
  </si>
  <si>
    <t xml:space="preserve">Ek enquiry ke baad actually kya hota hai? (Behind the scenes)</t>
  </si>
  <si>
    <t xml:space="preserve">Screen-record + voiceover: lead arrives in CRM → counsellor calls → eligibility check → document pre-check → application. No faces needed.</t>
  </si>
  <si>
    <t xml:space="preserve">Ek enquiry ke baad actually kya hota hai? (Behind the scenes)
Aapki enquiry aate hi counsellor assign hota hai, qualification aur documents check hote hain, phir program options aur exact fees share hoti hain. Application tab hi jaati hai jab sab verify ho jaaye. Yeh process har student ke liye same hai.
Guidance is based on your qualification and each university's current program eligibility. Fees are shown exactly as published by the university.
Try it: message GUIDE. · DM/WhatsApp “GUIDE” · 98 33 07 44 76</t>
  </si>
  <si>
    <t xml:space="preserve">Try it: message GUIDE.</t>
  </si>
  <si>
    <t xml:space="preserve">GUIDE</t>
  </si>
  <si>
    <t xml:space="preserve">Vertical: over-the-shoulder view of a counsellor's desk with laptop CRM (abstract UI), headset, notebook; navy tones.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</si>
  <si>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over-the-shoulder view of a counsellor's desk with laptop CRM (abstract UI), headset, notebook; navy tones.</t>
  </si>
  <si>
    <t xml:space="preserve">/admission-process</t>
  </si>
  <si>
    <t xml:space="preserve">[REACH] [WHATSAPP]</t>
  </si>
  <si>
    <t xml:space="preserve">Recognition</t>
  </si>
  <si>
    <t xml:space="preserve">Enrol करने से पहले recognition verify करो — यहाँ से.</t>
  </si>
  <si>
    <t xml:space="preserve">Explainer: what UGC-DEB entitlement means, why it is program + session specific, how to check; we encourage students to verify themselves.</t>
  </si>
  <si>
    <t xml:space="preserve">Enrol करने से पहले recognition verify करो — यहाँ से.
Online/ODL programs ki recognition university, program aur academic session ke hisaab se hoti hai. Enrol karne se pehle apne session ke liye current entitlement verify karo — hum bhi yahi karte hain aur aapko dikhate hain. Blanket claims par bharosa mat karo.
Guidance is based on your qualification and each university's current program eligibility. Fees are shown exactly as published by the university.
Save this. Ask us: message VERIFY. · DM/WhatsApp “VERIFY” · 98 33 07 44 76</t>
  </si>
  <si>
    <t xml:space="preserve">Save this. Ask us: message VERIFY.</t>
  </si>
  <si>
    <t xml:space="preserve">Magnifying glass over an abstract official document on a navy desk, gold seal-like accent (not a real badge); clean white text area.</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</si>
  <si>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Magnifying glass over an abstract official document on a navy desk, gold seal-like accent (not a real badge); clean white text area.</t>
  </si>
  <si>
    <t xml:space="preserve">DMs</t>
  </si>
  <si>
    <t xml:space="preserve">[ENGAGEMENT] [WHATSAPP]</t>
  </si>
  <si>
    <t xml:space="preserve">Course choice</t>
  </si>
  <si>
    <t xml:space="preserve">18–30</t>
  </si>
  <si>
    <t xml:space="preserve">Course चुनने से पहले ये 5 चीज़ें check करो.</t>
  </si>
  <si>
    <t xml:space="preserve">Eligibility, duration (min/max), fee breakup, specializations, support after admission — from the platform's own fields.</t>
  </si>
  <si>
    <t xml:space="preserve">Course चुनने से पहले ये 5 चीज़ें check करो.
1) Eligibility — marks aur subjects 2) Duration — minimum aur maximum time 3) Fee breakup — registration, exam, tuition 4) Specializations — jo aapke career se match karein 5) Support — documents se degree tak kaun saath hai. Yeh paanch cheezein har program page par ek jagah milti hain.
Guidance is based on your qualification and each university's current program eligibility. Fees are shown exactly as published by the university.
Save this checklist. Explore courses at DegreeComplete.in. · DM/WhatsApp “COURSE” · 98 33 07 44 76</t>
  </si>
  <si>
    <t xml:space="preserve">Save this checklist. Explore courses at DegreeComplete.in.</t>
  </si>
  <si>
    <t xml:space="preserve">COURSE</t>
  </si>
  <si>
    <t xml:space="preserve">Notebook checklist with five gold ticks beside a laptop; Indian student's hands; white desk,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</si>
  <si>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Notebook checklist with five gold ticks beside a laptop; Indian student's hands; white desk, navy header.</t>
  </si>
  <si>
    <t xml:space="preserve">/find-course</t>
  </si>
  <si>
    <t xml:space="preserve">[FOLLOWERS] [WEBSITE TRAFFIC]</t>
  </si>
  <si>
    <t xml:space="preserve">Story set + Static</t>
  </si>
  <si>
    <t xml:space="preserve">Community</t>
  </si>
  <si>
    <t xml:space="preserve">Engagement</t>
  </si>
  <si>
    <t xml:space="preserve">आपका सबसे बड़ा confusion क्या है? (हम जवाब देंगे)</t>
  </si>
  <si>
    <t xml:space="preserve">Question sticker day: collect real doubts; answer top 5 in a static post the same evening. First-7-day results review internally today.</t>
  </si>
  <si>
    <t xml:space="preserve">आपका सबसे बड़ा confusion क्या है? (हम जवाब देंगे)
Course, university, fees, eligibility ya documents — jo bhi confusion hai, bhejo. Aaj hum sabse common 5 sawaalon ke jawab post karenge. Yeh page selling ke liye nahi, sahi decision ke liye hai.
Guidance is based on your qualification and each university's current program eligibility. Fees are shown exactly as published by the university.
Reply on the story or DM ASK. · DM/WhatsApp “ASK” · 98 33 07 44 76</t>
  </si>
  <si>
    <t xml:space="preserve">Reply on the story or DM ASK.</t>
  </si>
  <si>
    <t xml:space="preserve">ASK</t>
  </si>
  <si>
    <t xml:space="preserve">Phone mock showing a question sticker on a navy story background with gold accents.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</si>
  <si>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story composition, consistent navy-gold-white branding, no fake logos, no unnecessary text, no watermark. Scene: Phone mock showing a question sticker on a navy story background with gold accents.</t>
  </si>
  <si>
    <t xml:space="preserve">Replies</t>
  </si>
  <si>
    <t xml:space="preserve">Question sticker + 'This or that' polls (Online/Distance, MBA/MCA); share best replies</t>
  </si>
  <si>
    <t xml:space="preserve">Phase 2 · Course education</t>
  </si>
  <si>
    <t xml:space="preserve">MBA explainer</t>
  </si>
  <si>
    <t xml:space="preserve">Followers / Traffic</t>
  </si>
  <si>
    <t xml:space="preserve">Graduates + working</t>
  </si>
  <si>
    <t xml:space="preserve">Online MBA: कौन कर सकता है, कितना time, क्या मिलेगा?</t>
  </si>
  <si>
    <t xml:space="preserve">8 slides: eligibility (bachelor's, ~50%/45% reserved — SOURCE common rules), duration 2 yrs (max 4), semesters, specializations available across partners, no entrance exam at most, what to check.</t>
  </si>
  <si>
    <t xml:space="preserve">Online MBA: कौन कर सकता है, कितना time, क्या मिलेगा?
Online MBA ke liye generally kisi bhi discipline mein bachelor's degree chahiye, minimum 50% (reserved category 45%) — kuch universities work experience ke saath kam marks bhi accept karti hain (SOURCE). Duration 2 saal, maximum 4 saal. Marketing, Finance, HR, Analytics, Operations, Digital Marketing jaise specializations partner universities mein available hain.
Guidance is based on your qualification and each university's current program eligibility. Fees are shown exactly as published by the university.
Explore Online MBA options. · DM/WhatsApp “MBA” · 98 33 07 44 76</t>
  </si>
  <si>
    <t xml:space="preserve">Explore Online MBA options.</t>
  </si>
  <si>
    <t xml:space="preserve">Indian professional woman, 27, reviewing a printed program brochure at a café table, laptop open; navy-gold slide framing.</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</si>
  <si>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professional woman, 27, reviewing a printed program brochure at a café table, laptop open; navy-gold slide framing.</t>
  </si>
  <si>
    <t xml:space="preserve">[WEBSITE TRAFFIC] [FOLLOWERS]</t>
  </si>
  <si>
    <t xml:space="preserve">MBA specialization</t>
  </si>
  <si>
    <t xml:space="preserve">Graduates</t>
  </si>
  <si>
    <t xml:space="preserve">MBA specialization कैसे चुनें? 4 सवाल.</t>
  </si>
  <si>
    <t xml:space="preserve">Quick reel: current job, target role, numbers vs people, industry demand — map to Finance/Marketing/HR/Analytics/Operations.</t>
  </si>
  <si>
    <t xml:space="preserve">MBA specialization कैसे चुनें? 4 सवाल.
Specialization aapke target role se decide karo, trend se nahi. Numbers pasand hain — Finance/Analytics. People aur communication — HR/Marketing. Process aur supply chain — Operations. Confused ho toh dual-specialization options bhi kuch universities mein hain (SOURCE).
Guidance is based on your qualification and each university's current program eligibility. Fees are shown exactly as published by the university.
Comment your current job and we will suggest 2 options. · DM/WhatsApp “MBA” · 98 33 07 44 76</t>
  </si>
  <si>
    <t xml:space="preserve">Comment your current job and we will suggest 2 options.</t>
  </si>
  <si>
    <t xml:space="preserve">Vertical: four floating cards (icons only) around a young Indian professional, navy background, gold highlights.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</si>
  <si>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four floating cards (icons only) around a young Indian professional, navy background, gold highlights.</t>
  </si>
  <si>
    <t xml:space="preserve">BBA explainer</t>
  </si>
  <si>
    <t xml:space="preserve">12th pass</t>
  </si>
  <si>
    <t xml:space="preserve">Online BBA after 12th — पूरा picture.</t>
  </si>
  <si>
    <t xml:space="preserve">Eligibility 10+2 any stream, pass to 40–50% (SOURCE), 3 years/6 semesters (max 6), specializations (Finance, Marketing, HR, Digital Marketing, Analytics), what it leads to (MBA, entry-level management roles).</t>
  </si>
  <si>
    <t xml:space="preserve">Online BBA after 12th — पूरा picture.
12th ke baad kisi bhi stream se BBA ho sakta hai; minimum marks pass se 40–50% tak university par depend karta hai (SOURCE). 3 saal, 6 semester, aur aap MBA ke liye eligible ho jaate ho. Ghar se, job ke saath.
Guidance is based on your qualification and each university's current program eligibility. Fees are shown exactly as published by the university.
See BBA options and fees. · DM/WhatsApp “BBA” · 98 33 07 44 76</t>
  </si>
  <si>
    <t xml:space="preserve">See BBA options and fees.</t>
  </si>
  <si>
    <t xml:space="preserve">Two Indian students, 19, on a college-style bench with a laptop, outdoor soft light; navy card overlay.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</si>
  <si>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Two Indian students, 19, on a college-style bench with a laptop, outdoor soft light; navy card overlay.</t>
  </si>
  <si>
    <t xml:space="preserve">BCA vs BBA</t>
  </si>
  <si>
    <t xml:space="preserve">BCA vs BBA — कौन सा आपके लिए बेहतर?</t>
  </si>
  <si>
    <t xml:space="preserve">Split-screen reel: interests, subjects, careers, next step (MCA vs MBA). Ends with 'both are 3 years, both from home'.</t>
  </si>
  <si>
    <t xml:space="preserve">BCA vs BBA — कौन सा आपके लिए बेहतर?
BCA — computers, coding, data, IT career, aage MCA. BBA — business, marketing, finance, management, aage MBA. Dono 3 saal, dono ghar se. Maths pasand hai aur tech mein jaana hai toh BCA; logon aur business ke saath kaam karna hai toh BBA.
Guidance is based on your qualification and each university's current program eligibility. Fees are shown exactly as published by the university.
Comment BCA or BBA — we will send the eligibility for both. · DM/WhatsApp “BCA” · 98 33 07 44 76</t>
  </si>
  <si>
    <t xml:space="preserve">Comment BCA or BBA — we will send the eligibility for both.</t>
  </si>
  <si>
    <t xml:space="preserve">Vertical split: left navy with code motifs and a young man, right gold with charts and a young woman.</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</si>
  <si>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split: left navy with code motifs and a young man, right gold with charts and a young woman.</t>
  </si>
  <si>
    <t xml:space="preserve">BCA explainer</t>
  </si>
  <si>
    <t xml:space="preserve">Traffic</t>
  </si>
  <si>
    <t xml:space="preserve">Online BCA: eligibility, specializations, career.</t>
  </si>
  <si>
    <t xml:space="preserve">Eligibility 10+2 any stream, Maths/CS preferred and mandatory at a few (SOURCE), specializations (AI, Data Science, Cloud, Cyber Security, Full-stack), 3 years.</t>
  </si>
  <si>
    <t xml:space="preserve">Online BCA: eligibility, specializations, career.
BCA ke liye 10+2 kisi bhi stream se chalta hai, lekin kuch universities Maths/Computer Science 12th mein maangti hain (SOURCE). Partner universities AI &amp; Data Science, Cloud, Cyber Security, Full-Stack jaise specializations offer karti hain. Pehle apna 12th subject batao — hum sahi university match karenge.
Guidance is based on your qualification and each university's current program eligibility. Fees are shown exactly as published by the university.
Explore BCA programs. · DM/WhatsApp “BCA” · 98 33 07 44 76</t>
  </si>
  <si>
    <t xml:space="preserve">Explore BCA programs.</t>
  </si>
  <si>
    <t xml:space="preserve">Indian student with a laptop in a library, screen glow, abstract network graphic; navy-gold layout.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</si>
  <si>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student with a laptop in a library, screen glow, abstract network graphic; navy-gold layout.</t>
  </si>
  <si>
    <t xml:space="preserve">[WEBSITE TRAFFIC]</t>
  </si>
  <si>
    <t xml:space="preserve">MCA</t>
  </si>
  <si>
    <t xml:space="preserve">MCA explainer</t>
  </si>
  <si>
    <t xml:space="preserve">Graduates, IT-inclined</t>
  </si>
  <si>
    <t xml:space="preserve">21–30</t>
  </si>
  <si>
    <t xml:space="preserve">Online MCA — graduate से tech professional.</t>
  </si>
  <si>
    <t xml:space="preserve">Eligibility: BCA/B.Sc/B.Tech or any graduate WITH Maths at 10+2 or graduation (SOURCE), 50%/45%, bridge course where allowed; specializations AI&amp;ML, Data Science, Cyber Security, Cloud, Full-stack.</t>
  </si>
  <si>
    <t xml:space="preserve">Online MCA — graduate से tech professional.
MCA ke liye graduation chahiye aur Maths 10+2 ya graduation level par (SOURCE) — bina Maths ke kuch universities bridge course allow karti hain. 2 saal, AI &amp; ML, Data Science, Cyber Security, Cloud jaise specializations. Non-IT graduate ho? Pehle Maths eligibility check karo.
Guidance is based on your qualification and each university's current program eligibility. Fees are shown exactly as published by the university.
Check MCA eligibility. · DM/WhatsApp “MCA” · 98 33 07 44 76</t>
  </si>
  <si>
    <t xml:space="preserve">Check MCA eligibility.</t>
  </si>
  <si>
    <t xml:space="preserve">#OnlineMCA #MCA #TechUpgrade #AIandML #DataScience #ITCareer #DegreeComplete #OnlineEducation #CareerSwitch #Graduates</t>
  </si>
  <si>
    <t xml:space="preserve">Indian graduate, 24, at a dual-monitor workstation, abstract data visual, navy setting, gold accent line.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</si>
  <si>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graduate, 24, at a dual-monitor workstation, abstract data visual, navy setting, gold accent line.</t>
  </si>
  <si>
    <t xml:space="preserve">/online-mca</t>
  </si>
  <si>
    <t xml:space="preserve">Leads</t>
  </si>
  <si>
    <t xml:space="preserve">[WEBSITE TRAFFIC] [LEAD]</t>
  </si>
  <si>
    <t xml:space="preserve">Career switch</t>
  </si>
  <si>
    <t xml:space="preserve">Non-IT graduates</t>
  </si>
  <si>
    <t xml:space="preserve">22–32</t>
  </si>
  <si>
    <t xml:space="preserve">Non-IT graduate होकर tech में आना है? पहले ये check करो.</t>
  </si>
  <si>
    <t xml:space="preserve">Reel: the one filter (Maths), then the path — MCA with AI/Data specialization, while working.</t>
  </si>
  <si>
    <t xml:space="preserve">Non-IT graduate होकर tech में आना है? पहले ये check करो.
Commerce ya arts graduate ho aur IT mein switch karna hai? MCA possible hai, lekin sabse pehla filter Maths hai — 10+2 ya graduation mein. Jahan allowed hai wahan bridge course option hota hai (SOURCE). Baaki sab planning ke baad.
Guidance is based on your qualification and each university's current program eligibility. Fees are shown exactly as published by the university.
Message MCA with your graduation subject. · DM/WhatsApp “MCA” · 98 33 07 44 76</t>
  </si>
  <si>
    <t xml:space="preserve">Message MCA with your graduation subject.</t>
  </si>
  <si>
    <t xml:space="preserve">Vertical: person removing a formal tie at a desk, laptop transitioning to code (abstract); navy mood, gold text area.</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</si>
  <si>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person removing a formal tie at a desk, laptop transitioning to code (abstract); navy mood, gold text area.</t>
  </si>
  <si>
    <t xml:space="preserve">Academic gap</t>
  </si>
  <si>
    <t xml:space="preserve">Graduation complete करने के 5 फायदे (job के साथ).</t>
  </si>
  <si>
    <t xml:space="preserve">Eligibility for jobs/govt exams, promotion, higher studies, salary band, confidence — and BA/B.Com online eligibility 12th pass, 3 yrs, no entrance at most.</t>
  </si>
  <si>
    <t xml:space="preserve">Graduation complete करने के 5 फायदे (job के साथ).
Job ke saath Online BA ya B.Com se graduation complete ho sakti hai — 12th pass eligibility, 3 saal, most universities mein bina entrance exam (SOURCE). Graduation ke baad promotions, government exams, MBA/MA aur naye offers ke raste khulte hain.
Guidance is based on your qualification and each university's current program eligibility. Fees are shown exactly as published by the university.
See BA &amp; B.Com options. · DM/WhatsApp “GRADUATION” · 98 33 07 44 76</t>
  </si>
  <si>
    <t xml:space="preserve">See BA &amp; B.Com options.</t>
  </si>
  <si>
    <t xml:space="preserve">Indian man, 30, in a security-guard/retail uniform jacket over a shirt, studying at night on a phone; respectful, hopeful; navy layout.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</si>
  <si>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man, 30, in a security-guard/retail uniform jacket over a shirt, studying at night on a phone; respectful, hopeful; navy layout.</t>
  </si>
  <si>
    <t xml:space="preserve">Eligibility</t>
  </si>
  <si>
    <t xml:space="preserve">12th में कम marks? फिर भी graduation possible है.</t>
  </si>
  <si>
    <t xml:space="preserve">Fact card: many partner universities accept pass marks for BA/B.Com; some ask 40–50% — check by university (SOURCE).</t>
  </si>
  <si>
    <t xml:space="preserve">12th में कम marks? फिर भी graduation possible है.
BA/B.Com ke liye kai partner universities mein sirf 12th pass chahiye; kuch 40–50% maangti hain (SOURCE). Aapke marks ke hisaab se kaunsi universities open hain, yeh hum 5 minute mein bata sakte hain.
Guidance is based on your qualification and each university's current program eligibility. Fees are shown exactly as published by the university.
Message GRADUATION with your 12th percentage. · DM/WhatsApp “GRADUATION” · 98 33 07 44 76</t>
  </si>
  <si>
    <t xml:space="preserve">Message GRADUATION with your 12th percentage.</t>
  </si>
  <si>
    <t xml:space="preserve">Close-up of a marksheet (blurred numbers) and a hopeful young Indian woman; white background, navy band.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</si>
  <si>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Close-up of a marksheet (blurred numbers) and a hopeful young Indian woman; white background, navy band.</t>
  </si>
  <si>
    <t xml:space="preserve">[WHATSAPP] [ENGAGEMENT]</t>
  </si>
  <si>
    <t xml:space="preserve">Student mistakes</t>
  </si>
  <si>
    <t xml:space="preserve">Online MBA लेने से पहले ये 5 mistakes मत करना.</t>
  </si>
  <si>
    <t xml:space="preserve">Reel: choosing by ad not eligibility, ignoring exam fee, not asking about max duration, not checking specialization list, paying without written fee.</t>
  </si>
  <si>
    <t xml:space="preserve">Online MBA लेने से पहले ये 5 mistakes मत करना.
1) Sirf ad dekh kar choose karna 2) Exam aur registration fee ignore karna 3) Maximum duration na poochna 4) Specialization list na dekhna 5) Bina likhit fee ke pay karna. Yeh paanch galtiyan rokna hi hamara kaam hai.
Guidance is based on your qualification and each university's current program eligibility. Fees are shown exactly as published by the university.
Save this. Explore MBA with full fee breakup. · DM/WhatsApp “MBA” · 98 33 07 44 76</t>
  </si>
  <si>
    <t xml:space="preserve">Save this. Explore MBA with full fee breakup.</t>
  </si>
  <si>
    <t xml:space="preserve">Vertical: Indian professional facepalm-lite humour, then confident; navy background with five gold numbered chips.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</si>
  <si>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professional facepalm-lite humour, then confident; navy background with five gold numbered chips.</t>
  </si>
  <si>
    <t xml:space="preserve">MA / M.Com / M.Sc</t>
  </si>
  <si>
    <t xml:space="preserve">PG explainers</t>
  </si>
  <si>
    <t xml:space="preserve">MA, M.Com, M.Sc online — किसके लिए कौन सा?</t>
  </si>
  <si>
    <t xml:space="preserve">MA (English, Economics, Political Science, Sociology, JMC) any graduate; M.Com commerce/any graduate at several; M.Sc needs relevant B.Sc subject (SOURCE).</t>
  </si>
  <si>
    <t xml:space="preserve">MA, M.Com, M.Sc online — किसके लिए कौन सा?
MA ke liye generally koi bhi graduate eligible hai; M.Com ke liye commerce/management background preferred (kai universities any graduate lete hain); M.Sc Maths/Physics/Data Science ke liye relevant subject B.Sc mein chahiye (SOURCE). 2 saal, ghar se, teaching/UPSC/research ke liye useful.
Guidance is based on your qualification and each university's current program eligibility. Fees are shown exactly as published by the university.
Explore MA, M.Com and M.Sc programs. · DM/WhatsApp “PG” · 98 33 07 44 76</t>
  </si>
  <si>
    <t xml:space="preserve">Explore MA, M.Com and M.Sc programs.</t>
  </si>
  <si>
    <t xml:space="preserve">PG</t>
  </si>
  <si>
    <t xml:space="preserve">Three Indian graduates with different props (book, ledger, lab notebook) on a white set; navy-gold framing.</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</si>
  <si>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Three Indian graduates with different props (book, ledger, lab notebook) on a white set; navy-gold framing.</t>
  </si>
  <si>
    <t xml:space="preserve">Working professional</t>
  </si>
  <si>
    <t xml:space="preserve">Working</t>
  </si>
  <si>
    <t xml:space="preserve">24–40</t>
  </si>
  <si>
    <t xml:space="preserve">Job के साथ पढ़ाई — एक हफ्ते का realistic schedule.</t>
  </si>
  <si>
    <t xml:space="preserve">Reel: 6–8 hrs/week split across recorded lectures, weekend live, assignments; honest about effort.</t>
  </si>
  <si>
    <t xml:space="preserve">Job के साथ पढ़ाई — एक हफ्ते का realistic schedule.
Online degree ka matlab zero effort nahi hai. Realistic plan: hafte mein 6–8 ghante — recorded lectures commute mein, weekend par live session, assignment ek shaam. Discipline aap laate ho, structure university deti hai, follow-up hum karte hain.
Guidance is based on your qualification and each university's current program eligibility. Fees are shown exactly as published by the university.
Save this schedule. · DM/WhatsApp “PLAN” · 98 33 07 44 76</t>
  </si>
  <si>
    <t xml:space="preserve">Save this schedule.</t>
  </si>
  <si>
    <t xml:space="preserve">PLAN</t>
  </si>
  <si>
    <t xml:space="preserve">Vertical: weekly planner on a desk with a coffee, phone showing a lecture (abstract), morning light; navy-gold overlay.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</si>
  <si>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weekly planner on a desk with a coffee, phone showing a lecture (abstract), morning light; navy-gold overlay.</t>
  </si>
  <si>
    <t xml:space="preserve">Executive / WX</t>
  </si>
  <si>
    <t xml:space="preserve">Working 3+ yrs</t>
  </si>
  <si>
    <t xml:space="preserve">26–40</t>
  </si>
  <si>
    <t xml:space="preserve">3+ years experience? Executive MBA options भी हैं.</t>
  </si>
  <si>
    <t xml:space="preserve">Card: Executive/WX formats need work experience (2–3 yrs typical), interview/profile screening may apply (SOURCE).</t>
  </si>
  <si>
    <t xml:space="preserve">3+ years experience? Executive MBA options भी हैं.
Working executives ke liye Executive MBA / MBA (WX) formats hain jinme minimum work experience chahiye (usually 2–3 saal) aur profile screening ho sakti hai (SOURCE). Regular Online MBA se fees aur format alag hote hain. Aapke profile par kya fit hai, yeh ek call mein clear ho jaata hai.
Guidance is based on your qualification and each university's current program eligibility. Fees are shown exactly as published by the university.
Compare Executive vs Online MBA — message EXEC. · DM/WhatsApp “EXEC” · 98 33 07 44 76</t>
  </si>
  <si>
    <t xml:space="preserve">Compare Executive vs Online MBA — message EXEC.</t>
  </si>
  <si>
    <t xml:space="preserve">EXEC</t>
  </si>
  <si>
    <t xml:space="preserve">Senior Indian professional, 36, in a glass meeting room with a tablet; navy-gold editorial style.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</si>
  <si>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Senior Indian professional, 36, in a glass meeting room with a tablet; navy-gold editorial style.</t>
  </si>
  <si>
    <t xml:space="preserve">[WHATSAPP] [WEBSITE TRAFFIC]</t>
  </si>
  <si>
    <t xml:space="preserve">Duration rules</t>
  </si>
  <si>
    <t xml:space="preserve">Kitna time milta hai degree complete karne ke liye? (UGC rule)</t>
  </si>
  <si>
    <t xml:space="preserve">UG min 3 / max 6 yrs; PG min 2 / max 4; Diploma 1/2; Certificate 6m/1yr (SOURCE: admission master). Complete at own pace within max window.</t>
  </si>
  <si>
    <t xml:space="preserve">Kitna time milta hai degree complete karne ke liye? (UGC rule)
UG: minimum 3 saal, maximum 6. PG: minimum 2, maximum 4. Diploma: 1/2. Certificate: 6 mahine/1 saal (SOURCE). Yani job ya family ki wajah se ek semester slow ho gaye toh degree nahi jaati — maximum window ke andar complete karo.
Guidance is based on your qualification and each university's current program eligibility. Fees are shown exactly as published by the university.
Save this. Share with a working friend. · DM/WhatsApp “TIME” · 98 33 07 44 76</t>
  </si>
  <si>
    <t xml:space="preserve">Save this. Share with a working friend.</t>
  </si>
  <si>
    <t xml:space="preserve">TIME</t>
  </si>
  <si>
    <t xml:space="preserve">Hourglass with gold sand beside a graduation cap on a white surface;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</si>
  <si>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Hourglass with gold sand beside a graduation cap on a white surface; navy header.</t>
  </si>
  <si>
    <t xml:space="preserve">Story set + Reel</t>
  </si>
  <si>
    <t xml:space="preserve">Course finder</t>
  </si>
  <si>
    <t xml:space="preserve">Engagement / Lead</t>
  </si>
  <si>
    <t xml:space="preserve">5 सवाल, 2 minute — आपका right course.</t>
  </si>
  <si>
    <t xml:space="preserve">Story quiz funnel (qualification → goal → mode → budget) ending in link to /find-course; reel demo of the finder.</t>
  </si>
  <si>
    <t xml:space="preserve">5 सवाल, 2 minute — आपका right course.
Qualification, kya padhna hai, Online ya Distance, budget aur goal — bas 5 sawaal, aur aapko sirf wahi programs dikhte hain jinke liye aap eligible ho. Phir ek advisor exact eligibility aur current fee confirm karta hai.
Guidance is based on your qualification and each university's current program eligibility. Fees are shown exactly as published by the university.
Find My Course — link in bio. · DM/WhatsApp “COURSE” · 98 33 07 44 76</t>
  </si>
  <si>
    <t xml:space="preserve">Find My Course — link in bio.</t>
  </si>
  <si>
    <t xml:space="preserve">Vertical: phone-in-hand screen recording of the course finder (abstract UI), navy background, gold progress dots.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</si>
  <si>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story composition, consistent navy-gold-white branding, no fake logos, no unnecessary text, no watermark. Scene: Vertical: phone-in-hand screen recording of the course finder (abstract UI), navy background, gold progress dots.</t>
  </si>
  <si>
    <t xml:space="preserve">Eligibility starts</t>
  </si>
  <si>
    <t xml:space="preserve">Quiz: 'Aapki highest qualification?' → 'Kya padhna hai?' → swipe-up/link to Find My Course</t>
  </si>
  <si>
    <t xml:space="preserve">Phase 3 · University, fee &amp; comparison</t>
  </si>
  <si>
    <t xml:space="preserve">University</t>
  </si>
  <si>
    <t xml:space="preserve">How to compare</t>
  </si>
  <si>
    <t xml:space="preserve">University compare करने का सही तरीका (7 points).</t>
  </si>
  <si>
    <t xml:space="preserve">Recognition for session, program availability, eligibility fit, fee breakup, max duration, exam mode, post-admission support; show /compare.</t>
  </si>
  <si>
    <t xml:space="preserve">University compare करने का सही तरीका (7 points).
Naam se nahi, fit se compare karo: 1) aapke session ke liye recognition 2) program aur specialization available 3) aapki eligibility 4) pura fee breakup 5) exam mode 6) maximum duration 7) admission ke baad support. Hamare compare tool par 4 programs side-by-side dikhte hain.
Guidance is based on your qualification and each university's current program eligibility. Fees are shown exactly as published by the university.
Compare universities at DegreeComplete.in/compare. · DM/WhatsApp “COMPARE” · 98 33 07 44 76</t>
  </si>
  <si>
    <t xml:space="preserve">Compare universities at DegreeComplete.in/compare.</t>
  </si>
  <si>
    <t xml:space="preserve">COMPARE</t>
  </si>
  <si>
    <t xml:space="preserve">Side-by-side comparison table mock on a laptop, Indian student pointing; navy-gold UI style.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</si>
  <si>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Side-by-side comparison table mock on a laptop, Indian student pointing; navy-gold UI style.</t>
  </si>
  <si>
    <t xml:space="preserve">/compare</t>
  </si>
  <si>
    <t xml:space="preserve">Fee education</t>
  </si>
  <si>
    <t xml:space="preserve">Online MBA की total fees ₹62,000 से ₹3 लाख तक — फर्क क्यों?</t>
  </si>
  <si>
    <t xml:space="preserve">Fee-range explainer using source data: govt/state universities lower, private brands higher; what changes (brand, LMS, placements support, specializations). Verify current before posting.</t>
  </si>
  <si>
    <t xml:space="preserve">Online MBA की total fees ₹62,000 से ₹3 लाख तक — फर्क क्यों?
Partner universities mein Online MBA ki total fee lagbhag ₹62,000 se ₹3 lakh tak range karti hai (SOURCE, July-2026; current verify karo). Fark brand, LMS, specializations aur support ka hota hai — degree sab jagah university ki hoti hai. Sahi sawaal: aapke goal ke liye kaunsi value deti hai?
Guidance is based on your qualification and each university's current program eligibility. Fees are shown exactly as published by the university.
See MBA fees by university. · DM/WhatsApp “MBAFEES” · 98 33 07 44 76</t>
  </si>
  <si>
    <t xml:space="preserve">See MBA fees by university.</t>
  </si>
  <si>
    <t xml:space="preserve">MBAFEES</t>
  </si>
  <si>
    <t xml:space="preserve">Fee slider graphic (abstract) beside an Indian professional; white background, navy and gold bars.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</si>
  <si>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Fee slider graphic (abstract) beside an Indian professional; white background, navy and gold bars.</t>
  </si>
  <si>
    <t xml:space="preserve">[WEBSITE TRAFFIC] [WHATSAPP]</t>
  </si>
  <si>
    <t xml:space="preserve">What's in the fee</t>
  </si>
  <si>
    <t xml:space="preserve">Fees में क्या-क्या included है? (और क्या नहीं)</t>
  </si>
  <si>
    <t xml:space="preserve">Reel: registration/application (one-time), tuition (per sem/year/full), exam fee (per sem/year/subject), alumni fee at some, project fee at some — from source patterns.</t>
  </si>
  <si>
    <t xml:space="preserve">Fees में क्या-क्या included है? (और क्या नहीं)
Fee ke 4–5 parts hote hain: registration/application (one-time), tuition (semester/annual/full plan), exam fee (per semester ya per year), aur kuch universities mein alumni ya project fee (SOURCE). Hamare page par yeh sab alag-alag dikhta hai taaki surprise na ho.
Guidance is based on your qualification and each university's current program eligibility. Fees are shown exactly as published by the university.
Save this before you pay anywhere. · DM/WhatsApp “FEES” · 98 33 07 44 76</t>
  </si>
  <si>
    <t xml:space="preserve">Save this before you pay anywhere.</t>
  </si>
  <si>
    <t xml:space="preserve">Vertical: animated stack of fee cards (abstract) sliding in over a navy background; gold labels.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</si>
  <si>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animated stack of fee cards (abstract) sliding in over a navy background; gold labels.</t>
  </si>
  <si>
    <t xml:space="preserve">University options · MBA</t>
  </si>
  <si>
    <t xml:space="preserve">Online MBA के लिए 6 तरह की university options.</t>
  </si>
  <si>
    <t xml:space="preserve">Group partners by type without ranking: deemed brand (NMIMS, Amity, MUJ), private multi-specialization (LPU, Chandigarh, UPES), value (VGU, Galgotias, Parul), Maharashtra-based (DPU Pune, DPU Navi Mumbai, NMIMS), state/govt (KUK, Andhra), distance option (Mangalayatan). All from SOURCE partner list.</t>
  </si>
  <si>
    <t xml:space="preserve">Online MBA के लिए 6 तरह की university options.
Har student ke liye same university best nahi hoti. Options: established brands (NMIMS, Amity, Manipal Jaipur), wide-specialization private universities (LPU, Chandigarh, UPES), value options (VGU, Galgotias, Parul), Maharashtra ke apne (D.Y. Patil Pune / Navi Mumbai, NMIMS), state universities (Kurukshetra, Andhra) aur distance option (Mangalayatan). Fit pehle, naam baad mein.
Guidance is based on your qualification and each university's current program eligibility. Fees are shown exactly as published by the university.
Compare MBA universities. · DM/WhatsApp “MBA” · 98 33 07 44 76</t>
  </si>
  <si>
    <t xml:space="preserve">Compare MBA universities.</t>
  </si>
  <si>
    <t xml:space="preserve">Six neutral navy tiles with abstract campus icons (no real logos), Indian graduate in the centre; gold accents.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</si>
  <si>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Six neutral navy tiles with abstract campus icons (no real logos), Indian graduate in the centre; gold accents.</t>
  </si>
  <si>
    <t xml:space="preserve">Recognition check</t>
  </si>
  <si>
    <t xml:space="preserve">Fake university से कैसे बचें? 4 red flags.</t>
  </si>
  <si>
    <t xml:space="preserve">No program-level recognition shown, fee not in writing, 'degree in 6 months' promises, pressure to pay today.</t>
  </si>
  <si>
    <t xml:space="preserve">Fake university से कैसे बचें? 4 red flags.
Red flags: 1) program-level recognition dikhane se bachna 2) fee likhit mein na dena 3) '6 mahine mein degree' jaise promises 4) aaj hi pay karne ka pressure. Sahi platform aapko verify karne ka time deta hai — hum bhi.
Guidance is based on your qualification and each university's current program eligibility. Fees are shown exactly as published by the university.
Share this with someone who is about to pay. · DM/WhatsApp “VERIFY” · 98 33 07 44 76</t>
  </si>
  <si>
    <t xml:space="preserve">Share this with someone who is about to pay.</t>
  </si>
  <si>
    <t xml:space="preserve">Warning-style navy card with four gold flags icon row; concerned then relieved Indian student.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</si>
  <si>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Warning-style navy card with four gold flags icon row; concerned then relieved Indian student.</t>
  </si>
  <si>
    <t xml:space="preserve">[REACH] [ENGAGEMENT]</t>
  </si>
  <si>
    <t xml:space="preserve">Documents</t>
  </si>
  <si>
    <t xml:space="preserve">Admission के लिए कौन से documents चाहिए? (Checklist)</t>
  </si>
  <si>
    <t xml:space="preserve">From the 20-item source checklist: mandatory (10th, 12th, Aadhaar, photo, signature), PG extra (graduation marksheets, degree/provisional), conditional (category, work-ex, name change).</t>
  </si>
  <si>
    <t xml:space="preserve">Admission के लिए कौन से documents चाहिए? (Checklist)
Sab ke liye: 10th aur 12th marksheet + certificate, Aadhaar, photo, signature. PG ke liye: graduation ki saari marksheets aur degree/provisional certificate. Conditional: category certificate, work-experience letters, name-change proof (SOURCE). Soft copies, verify pehle, admission baad mein.
Guidance is based on your qualification and each university's current program eligibility. Fees are shown exactly as published by the university.
Full checklist: DegreeComplete.in/documents-required. · DM/WhatsApp “DOCS” · 98 33 07 44 76</t>
  </si>
  <si>
    <t xml:space="preserve">Full checklist: DegreeComplete.in/documents-required.</t>
  </si>
  <si>
    <t xml:space="preserve">DOCS</t>
  </si>
  <si>
    <t xml:space="preserve">Neat stack of document folders with gold tabs, a phone scanning a page; white desk,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</si>
  <si>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Neat stack of document folders with gold tabs, a phone scanning a page; white desk, navy header.</t>
  </si>
  <si>
    <t xml:space="preserve">/documents-required</t>
  </si>
  <si>
    <t xml:space="preserve">Fee comparison · BBA</t>
  </si>
  <si>
    <t xml:space="preserve">12th pass + parents</t>
  </si>
  <si>
    <t xml:space="preserve">Online BBA fees: ₹64,000 से ₹1.5 लाख — क्या फर्क है?</t>
  </si>
  <si>
    <t xml:space="preserve">Reel with source ranges: distance option lowest (Mangalayatan ~₹64k), state/value (KUK ~₹73k, VGU, Parul), private brands (MUJ, Amity, NMIMS ~₹1.3–1.5L). Verify before posting.</t>
  </si>
  <si>
    <t xml:space="preserve">Online BBA fees: ₹64,000 से ₹1.5 लाख — क्या फर्क है?
BBA ki total fee partner universities mein lagbhag ₹64,000 se ₹1.5 lakh tak hai (SOURCE, verify current). Distance aur state options kam, private brands zyada. Fees aap university ko pay karte ho, aur EMI/loan options kuch universities mein available hain.
Guidance is based on your qualification and each university's current program eligibility. Fees are shown exactly as published by the university.
See BBA fees by university. · DM/WhatsApp “BBA” · 98 33 07 44 76</t>
  </si>
  <si>
    <t xml:space="preserve">See BBA fees by university.</t>
  </si>
  <si>
    <t xml:space="preserve">Vertical: parent and student at a dining table looking at a tablet, warm evening light; navy bottom band with gold rupee motif.</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</si>
  <si>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parent and student at a dining table looking at a tablet, warm evening light; navy bottom band with gold rupee motif.</t>
  </si>
  <si>
    <t xml:space="preserve">EMI / loan</t>
  </si>
  <si>
    <t xml:space="preserve">Fees एक साथ नहीं दे सकते? EMI options समझो.</t>
  </si>
  <si>
    <t xml:space="preserve">Explain semester/annual/full plans and no-cost EMI via lender partners at several universities (SOURCE); terms by lender; we never collect fees.</t>
  </si>
  <si>
    <t xml:space="preserve">Fees एक साथ नहीं दे सकते? EMI options समझो.
Zyadatar universities semester, annual ya full-payment plan deti hain; kai universities lender partners ke saath no-cost EMI bhi offer karti hain (SOURCE). Terms lender/university tay karte hain. Hum sirf batate hain kaunsa plan aapke liye available hai — fees seedha university ko jaati hai.
Guidance is based on your qualification and each university's current program eligibility. Fees are shown exactly as published by the university.
Message EMI with your course. · DM/WhatsApp “EMI” · 98 33 07 44 76</t>
  </si>
  <si>
    <t xml:space="preserve">Message EMI with your course.</t>
  </si>
  <si>
    <t xml:space="preserve">EMI</t>
  </si>
  <si>
    <t xml:space="preserve">Calendar with gold-marked instalment dates and a laptop; Indian professional's hands; white and navy.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</si>
  <si>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Calendar with gold-marked instalment dates and a laptop; Indian professional's hands; white and navy.</t>
  </si>
  <si>
    <t xml:space="preserve">University options · BCA</t>
  </si>
  <si>
    <t xml:space="preserve">Online BCA specializations by university.</t>
  </si>
  <si>
    <t xml:space="preserve">Map from source catalogue: AI/Data Science (MUJ, Amrita, Chandigarh, Shoolini), Cloud/Cyber (MUJ, UPES, Chandigarh, Shoolini), Fintech (Amity), General (LPU, Parul, Galgotias, UU, VGU). Verify list before posting.</t>
  </si>
  <si>
    <t xml:space="preserve">Online BCA specializations by university.
AI &amp; Data Science, Cloud, Cyber Security, Full-Stack, Fintech — alag universities alag specializations deti hain (SOURCE catalogue). Pehle decide karo kis field mein jaana hai, phir university. Hum aapke 12th subjects ke hisaab se eligible options filter karte hain.
Guidance is based on your qualification and each university's current program eligibility. Fees are shown exactly as published by the university.
Explore BCA by specialization. · DM/WhatsApp “BCA” · 98 33 07 44 76</t>
  </si>
  <si>
    <t xml:space="preserve">Explore BCA by specialization.</t>
  </si>
  <si>
    <t xml:space="preserve">Grid of five specialization icons (abstract) over a young Indian coder; navy-gold layout.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</si>
  <si>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Grid of five specialization icons (abstract) over a young Indian coder; navy-gold layout.</t>
  </si>
  <si>
    <t xml:space="preserve">Counsellor expertise</t>
  </si>
  <si>
    <t xml:space="preserve">Counsellor से पहली call में क्या पूछें? (5 सवाल)</t>
  </si>
  <si>
    <t xml:space="preserve">Reel of the questions a good counsellor answers: recognition, eligibility for me, full fee, max duration, who supports after admission.</t>
  </si>
  <si>
    <t xml:space="preserve">Counsellor से पहली call में क्या पूछें? (5 सवाल)
Pehli call mein poochho: 1) mere session ke liye recognition 2) kya main eligible hoon (marks/subject) 3) pura fee breakup 4) maximum duration 5) admission ke baad support kaun karega. Jo counsellor in paanch ka seedha jawab de, wahi bharose layak hai.
Guidance is based on your qualification and each university's current program eligibility. Fees are shown exactly as published by the university.
Test us — message CALL. · DM/WhatsApp “CALL” · 98 33 07 44 76</t>
  </si>
  <si>
    <t xml:space="preserve">Test us — message CALL.</t>
  </si>
  <si>
    <t xml:space="preserve">CALL</t>
  </si>
  <si>
    <t xml:space="preserve">Vertical: friendly Indian counsellor with a headset, white desk, five gold question chips floating.</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</si>
  <si>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friendly Indian counsellor with a headset, white desk, five gold question chips floating.</t>
  </si>
  <si>
    <t xml:space="preserve">[WHATSAPP] [CALL]</t>
  </si>
  <si>
    <t xml:space="preserve">University options · MCA</t>
  </si>
  <si>
    <t xml:space="preserve">Online MCA: AI/ML, Data Science, Cyber — कहाँ क्या मिलता है?</t>
  </si>
  <si>
    <t xml:space="preserve">Source catalogue mapping: AI&amp;ML (MUJ, UPES, Chandigarh, Shoolini, DPU Pune, Amrita), Data Science (LPU, Sharda*, Shoolini, UPES), Cyber (Amity, Amrita, MUJ, UPES, LPU), Full-stack (LPU, Chandigarh, Parul). *on hold — exclude.</t>
  </si>
  <si>
    <t xml:space="preserve">Online MCA: AI/ML, Data Science, Cyber — कहाँ क्या मिलता है?
MCA mein AI &amp; ML, Data Science, Cyber Security &amp; Forensics, Cloud, Full-Stack jaise specializations partner universities mein hain (SOURCE). Fees lagbhag ₹76,000 se ₹2.3 lakh tak (SOURCE, verify). Maths eligibility clear hai toh options kaafi hain.
Guidance is based on your qualification and each university's current program eligibility. Fees are shown exactly as published by the university.
Compare MCA programs. · DM/WhatsApp “MCA” · 98 33 07 44 76</t>
  </si>
  <si>
    <t xml:space="preserve">Compare MCA programs.</t>
  </si>
  <si>
    <t xml:space="preserve">Indian graduate at a workstation with abstract neural-network visual; navy-gold framing.</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</si>
  <si>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graduate at a workstation with abstract neural-network visual; navy-gold framing.</t>
  </si>
  <si>
    <t xml:space="preserve">Maharashtra</t>
  </si>
  <si>
    <t xml:space="preserve">Maharashtra (Mumbai, Thane, Navi Mumbai, Pune, Nagpur, Nashik, Sambhajinagar)</t>
  </si>
  <si>
    <t xml:space="preserve">Mumbai/Pune में हो? ये universities आपके पास हैं.</t>
  </si>
  <si>
    <t xml:space="preserve">Highlight Maharashtra-based partners (NMIMS Mumbai, D.Y. Patil Navi Mumbai, D.Y. Patil Pune) + national online options; note ODL jurisdiction check.</t>
  </si>
  <si>
    <t xml:space="preserve">Mumbai/Pune में हो? ये universities आपके पास हैं.
Maharashtra ke students ke liye NMIMS (Mumbai), D.Y. Patil Navi Mumbai aur D.Y. Patil Pune jaise partner universities local hain, aur online mode mein desh bhar ki universities open hain. Distance (ODL) programs mein territorial rules ho sakte hain — hum pehle check karte hain.
Guidance is based on your qualification and each university's current program eligibility. Fees are shown exactly as published by the university.
Explore universities. · DM/WhatsApp “MUMBAI” · 98 33 07 44 76</t>
  </si>
  <si>
    <t xml:space="preserve">Explore universities.</t>
  </si>
  <si>
    <t xml:space="preserve">MUMBAI</t>
  </si>
  <si>
    <t xml:space="preserve">Mumbai skyline at golden hour softly blurred behind a young Indian professional with a laptop; navy-gold overlay.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</si>
  <si>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Mumbai skyline at golden hour softly blurred behind a young Indian professional with a laptop; navy-gold overlay.</t>
  </si>
  <si>
    <t xml:space="preserve">Application process</t>
  </si>
  <si>
    <t xml:space="preserve">Enquiry से admission तक — 8 steps, कितना time?</t>
  </si>
  <si>
    <t xml:space="preserve">Reel walking the source admission steps with timelines: counselling same day → documents 1 day → portal registration → fee → verification 2–7 working days → LMS 1–2 weeks.</t>
  </si>
  <si>
    <t xml:space="preserve">Enquiry से admission तक — 8 steps, कितना time?
Counselling aur course selection (same day) → documents collect aur pre-check (1 din) → university portal par registration → fee (ya EMI) → university verification (2–7 working days) → provisional admission, LMS access, ABC/APAAR ID (1–2 hafte) (SOURCE). Simple hai jab koi saath ho.
Guidance is based on your qualification and each university's current program eligibility. Fees are shown exactly as published by the university.
Save this. Start with an eligibility check. · DM/WhatsApp “PROCESS” · 98 33 07 44 76</t>
  </si>
  <si>
    <t xml:space="preserve">Save this. Start with an eligibility check.</t>
  </si>
  <si>
    <t xml:space="preserve">PROCESS</t>
  </si>
  <si>
    <t xml:space="preserve">Vertical: eight-step vertical timeline with gold nodes on navy, Indian student's phone at the end showing an admission screen (abstract).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</si>
  <si>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eight-step vertical timeline with gold nodes on navy, Indian student's phone at the end showing an admission screen (abstract).</t>
  </si>
  <si>
    <t xml:space="preserve">Fee comparison · Graduation</t>
  </si>
  <si>
    <t xml:space="preserve">Graduation complete करने की fees — ₹34,000 से शुरू.</t>
  </si>
  <si>
    <t xml:space="preserve">Source ranges: Mangalayatan distance BA ~₹34k, KUK BA/B.Com ~₹73k, Parul ₹70k, private brands ~₹1–1.6L. Verify before posting.</t>
  </si>
  <si>
    <t xml:space="preserve">Graduation complete करने की fees — ₹34,000 से शुरू.
Online/Distance BA aur B.Com ki total fees lagbhag ₹34,000 se ₹1.6 lakh tak range karti hai (SOURCE, verify current). Sabse kam distance aur state options mein. EMI kuch universities mein available hai. Budget batao — hum uske andar options dikhayenge.
Guidance is based on your qualification and each university's current program eligibility. Fees are shown exactly as published by the university.
See BA &amp; B.Com fees. · DM/WhatsApp “GRADUATION” · 98 33 07 44 76</t>
  </si>
  <si>
    <t xml:space="preserve">See BA &amp; B.Com fees.</t>
  </si>
  <si>
    <t xml:space="preserve">Indian woman, 26, in a shop-owner setting with a laptop at the counter, warm light; navy-gold card.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</si>
  <si>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woman, 26, in a shop-owner setting with a laptop at the counter, warm light; navy-gold card.</t>
  </si>
  <si>
    <t xml:space="preserve">Interactive</t>
  </si>
  <si>
    <t xml:space="preserve">Poll: आप university कैसे choose करते हो?</t>
  </si>
  <si>
    <t xml:space="preserve">Polls (brand vs fee vs nearest vs specialization) + follow-up static summarising results and pointing to /compare.</t>
  </si>
  <si>
    <t xml:space="preserve">Poll: आप university कैसे choose करते हो?
Brand, fee, nearest campus ya specialization — aap kis basis par choose karte ho? Poll ke results aaj shaam post karenge. Sahi jawab: apni eligibility aur goal ke basis par compare karo.
Guidance is based on your qualification and each university's current program eligibility. Fees are shown exactly as published by the university.
Vote on the story. Compare at DegreeComplete.in/compare. · DM/WhatsApp “COMPARE” · 98 33 07 44 76</t>
  </si>
  <si>
    <t xml:space="preserve">Vote on the story. Compare at DegreeComplete.in/compare.</t>
  </si>
  <si>
    <t xml:space="preserve">Vertical story: four poll options on navy with gold bars; small Indian student illustration.</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</si>
  <si>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story composition, consistent navy-gold-white branding, no fake logos, no unnecessary text, no watermark. Scene: Vertical story: four poll options on navy with gold bars; small Indian student illustration.</t>
  </si>
  <si>
    <t xml:space="preserve">[ENGAGEMENT] [WEBSITE TRAFFIC]</t>
  </si>
  <si>
    <t xml:space="preserve">4-option poll + 'Ask me anything about fees' question box</t>
  </si>
  <si>
    <t xml:space="preserve">Phase 4 · Problem-solving &amp; lead magnets</t>
  </si>
  <si>
    <t xml:space="preserve">Lead magnet · Course Finder</t>
  </si>
  <si>
    <t xml:space="preserve">Confused? 5 सवालों में course decide — free.</t>
  </si>
  <si>
    <t xml:space="preserve">Lead magnet 1: Free Course Finder demo reel → /find-course; lead gate inside.</t>
  </si>
  <si>
    <t xml:space="preserve">Confused? 5 सवालों में course decide — free.
Kya padhein, kahan se, kitne mein — sab ek saath sochna mushkil hai. Free Course Finder mein 5 sawaal ke baad sirf eligible programs dikhte hain, phir advisor exact eligibility aur fee confirm karta hai. Koi charge nahi, koi obligation nahi.
Guidance is based on your qualification and each university's current program eligibility. Fees are shown exactly as published by the university.
Find My Course — link in bio. · DM/WhatsApp “COURSE” · 98 33 07 44 76</t>
  </si>
  <si>
    <t xml:space="preserve">Vertical: phone screen recording of the finder; navy background; gold 'Free' badge (not a fake seal).</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</si>
  <si>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phone screen recording of the finder; navy background; gold 'Free' badge (not a fake seal).</t>
  </si>
  <si>
    <t xml:space="preserve">[LEAD] [WEBSITE TRAFFIC]</t>
  </si>
  <si>
    <t xml:space="preserve">Lead magnet · MBA comparison</t>
  </si>
  <si>
    <t xml:space="preserve">Free: Online MBA University Comparison (2026).</t>
  </si>
  <si>
    <t xml:space="preserve">Lead magnet 3: comparison sheet (eligibility, duration, fee range, specializations, EMI) for A-tier MBA partners; delivered on WhatsApp after form.</t>
  </si>
  <si>
    <t xml:space="preserve">Free: Online MBA University Comparison (2026).
Ek hi sheet mein partner universities ke Online MBA: eligibility, duration, fee breakup, specializations aur EMI availability — sab source se, koi guess nahi. WhatsApp par free milegi.
Guidance is based on your qualification and each university's current program eligibility. Fees are shown exactly as published by the university.
Message MBA to get the comparison. · DM/WhatsApp “MBA” · 98 33 07 44 76</t>
  </si>
  <si>
    <t xml:space="preserve">Message MBA to get the comparison.</t>
  </si>
  <si>
    <t xml:space="preserve">Tablet showing a clean comparison grid (abstract), gold pen, Indian professional's hand; white desk,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</si>
  <si>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Tablet showing a clean comparison grid (abstract), gold pen, Indian professional's hand; white desk, navy header.</t>
  </si>
  <si>
    <t xml:space="preserve">WhatsApp conversations</t>
  </si>
  <si>
    <t xml:space="preserve">[WHATSAPP] [LEAD]</t>
  </si>
  <si>
    <t xml:space="preserve">Lead magnet · Graduation guidance</t>
  </si>
  <si>
    <t xml:space="preserve">Graduation Completion Guide: gap के बाद कैसे शुरू करें.</t>
  </si>
  <si>
    <t xml:space="preserve">Lead magnet 4: 6 slides — who is eligible after a gap, documents, which universities accept pass marks, duration, EMI, first step.</t>
  </si>
  <si>
    <t xml:space="preserve">Graduation Completion Guide: gap के बाद कैसे शुरू करें.
Gap 2 saal ka ho ya 10 saal ka — 12th pass ho toh Online BA/B.Com ke raste khule hain (SOURCE eligibility). Kuch universities gap-year undertaking maangti hain (SOURCE). Guide mein documents, fees aur first step sab hai.
Guidance is based on your qualification and each university's current program eligibility. Fees are shown exactly as published by the university.
Message GRADUATION for the guide. · DM/WhatsApp “GRADUATION” · 98 33 07 44 76</t>
  </si>
  <si>
    <t xml:space="preserve">Message GRADUATION for the guide.</t>
  </si>
  <si>
    <t xml:space="preserve">Indian man, 32, holding an old marksheet folder and a new laptop; hopeful; navy-gold layout.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</si>
  <si>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man, 32, holding an old marksheet folder and a new laptop; hopeful; navy-gold layout.</t>
  </si>
  <si>
    <t xml:space="preserve">Lead magnet · Eligibility check</t>
  </si>
  <si>
    <t xml:space="preserve">'Main eligible hoon ya nahi?' — 2 minute में जवाब.</t>
  </si>
  <si>
    <t xml:space="preserve">Lead magnet 2: eligibility check explainer; what we check (marks, subjects, gap, work-ex); free.</t>
  </si>
  <si>
    <t xml:space="preserve">'Main eligible hoon ya nahi?' — 2 minute में जवाब.
Marks, 12th subjects, graduation stream, gap aur work experience — inhi se eligibility decide hoti hai. Hum 2 minute mein bata dete hain kaunse programs aapke liye open hain aur kaunse nahi. Free, bina pressure.
Guidance is based on your qualification and each university's current program eligibility. Fees are shown exactly as published by the university.
Check My Eligibility — link in bio. · DM/WhatsApp “ELIGIBLE” · 98 33 07 44 76</t>
  </si>
  <si>
    <t xml:space="preserve">Check My Eligibility — link in bio.</t>
  </si>
  <si>
    <t xml:space="preserve">ELIGIBLE</t>
  </si>
  <si>
    <t xml:space="preserve">Vertical: green tick appearing on a phone screen held by an Indian student; navy background.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</si>
  <si>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green tick appearing on a phone screen held by an Indian student; navy background.</t>
  </si>
  <si>
    <t xml:space="preserve">Lead magnet · BCA vs BBA guide</t>
  </si>
  <si>
    <t xml:space="preserve">BCA vs BBA Guide — 12th के बाद सही चुनाव.</t>
  </si>
  <si>
    <t xml:space="preserve">Lead magnet 8: eligibility, subjects, specializations, careers, next degree, fee ranges (SOURCE).</t>
  </si>
  <si>
    <t xml:space="preserve">BCA vs BBA Guide — 12th के बाद सही चुनाव.
Dono 3 saal, dono ghar se, dono ke baad PG. Fark: BCA ke liye Maths preferred (kuch mein mandatory), tech careers; BBA any stream, business careers (SOURCE). Guide mein fees aur universities bhi.
Guidance is based on your qualification and each university's current program eligibility. Fees are shown exactly as published by the university.
Message BCA or BBA for the guide. · DM/WhatsApp “BCA” · 98 33 07 44 76</t>
  </si>
  <si>
    <t xml:space="preserve">Message BCA or BBA for the guide.</t>
  </si>
  <si>
    <t xml:space="preserve">Two-column guide cover mock on a navy background; young Indian student silhouette; gold divider.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</si>
  <si>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Two-column guide cover mock on a navy background; young Indian student silhouette; gold divider.</t>
  </si>
  <si>
    <t xml:space="preserve">Lead magnet · Online vs Distance</t>
  </si>
  <si>
    <t xml:space="preserve">Free guide: Online vs Distance — आपके लिए क्या सही है?</t>
  </si>
  <si>
    <t xml:space="preserve">Lead magnet 5: PDF/WhatsApp guide with a 6-question decision flow.</t>
  </si>
  <si>
    <t xml:space="preserve">Free guide: Online vs Distance — आपके लिए क्या सही है?
Location, schedule, exam preference, budget, course aur university rules — in 6 sawaalon se mode decide hota hai. Guide free hai; padh kar bhi confusion rahe toh advisor se baat karo.
Guidance is based on your qualification and each university's current program eligibility. Fees are shown exactly as published by the university.
Message MODE for the guide. · DM/WhatsApp “MODE” · 98 33 07 44 76</t>
  </si>
  <si>
    <t xml:space="preserve">Message MODE for the guide.</t>
  </si>
  <si>
    <t xml:space="preserve">Split navy/gold card with two abstract mode icons; Indian student between.</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</si>
  <si>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Split navy/gold card with two abstract mode icons; Indian student between.</t>
  </si>
  <si>
    <t xml:space="preserve">24–36</t>
  </si>
  <si>
    <t xml:space="preserve">MBA करना है पर resign नहीं कर सकते? यही solution है.</t>
  </si>
  <si>
    <t xml:space="preserve">Reel: one working professional's week + program structure; CTA to eligibility.</t>
  </si>
  <si>
    <t xml:space="preserve">MBA करना है पर resign नहीं कर सकते? यही solution है.
Online MBA mein classes recorded/weekend, exams online, aur most universities mein entrance exam nahi (SOURCE). Resign nahi, transfer nahi, leave nahi. 2 saal baad MBA on your CV.
Guidance is based on your qualification and each university's current program eligibility. Fees are shown exactly as published by the university.
Check eligibility — message MBA. · DM/WhatsApp “MBA” · 98 33 07 44 76</t>
  </si>
  <si>
    <t xml:space="preserve">Check eligibility — message MBA.</t>
  </si>
  <si>
    <t xml:space="preserve">Vertical: professional on a rooftop office terrace at evening with a laptop; navy skyline; gold text area.</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</si>
  <si>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professional on a rooftop office terrace at evening with a laptop; navy skyline; gold text area.</t>
  </si>
  <si>
    <t xml:space="preserve">[LEAD] [WHATSAPP]</t>
  </si>
  <si>
    <t xml:space="preserve">Lead magnet · University checklist</t>
  </si>
  <si>
    <t xml:space="preserve">University Selection Checklist (10 points) — free.</t>
  </si>
  <si>
    <t xml:space="preserve">Lead magnet 10: recognition, eligibility, fee breakup, EMI, exam mode, max duration, specialization list, LMS, support, refund policy.</t>
  </si>
  <si>
    <t xml:space="preserve">University Selection Checklist (10 points) — free.
Enrol karne se pehle 10 cheezein tick karo — recognition se refund policy tak. Checklist free hai, aur hum har point aapke shortlist ke liye bhar kar de sakte hain.
Guidance is based on your qualification and each university's current program eligibility. Fees are shown exactly as published by the university.
Message CHECKLIST. · DM/WhatsApp “CHECKLIST” · 98 33 07 44 76</t>
  </si>
  <si>
    <t xml:space="preserve">Message CHECKLIST.</t>
  </si>
  <si>
    <t xml:space="preserve">CHECKLIST</t>
  </si>
  <si>
    <t xml:space="preserve">Clipboard with a 10-point list and gold ticks, Indian student's hands; white and navy.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</si>
  <si>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Clipboard with a 10-point list and gold ticks, Indian student's hands; white and navy.</t>
  </si>
  <si>
    <t xml:space="preserve">MCA · Career switch</t>
  </si>
  <si>
    <t xml:space="preserve">Career switch to IT — MCA eligibility 2 minute में check करो.</t>
  </si>
  <si>
    <t xml:space="preserve">Lead post: Maths filter + bridge course; CTA eligibility.</t>
  </si>
  <si>
    <t xml:space="preserve">Career switch to IT — MCA eligibility 2 minute में check करो.
Non-IT graduate ke liye MCA ka pehla sawaal Maths ka hai (10+2 ya graduation) — jahan allowed hai wahan bridge course (SOURCE). Aapka case kya hai, 2 minute mein batate hain.
Guidance is based on your qualification and each university's current program eligibility. Fees are shown exactly as published by the university.
Check MCA eligibility — message MCA. · DM/WhatsApp “MCA” · 98 33 07 44 76</t>
  </si>
  <si>
    <t xml:space="preserve">Check MCA eligibility — message MCA.</t>
  </si>
  <si>
    <t xml:space="preserve">Indian professional, 27, at a laptop with a notebook of formulas; navy-gold composition.</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</si>
  <si>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professional, 27, at a laptop with a notebook of formulas; navy-gold composition.</t>
  </si>
  <si>
    <t xml:space="preserve">Student mistakes · Documents</t>
  </si>
  <si>
    <t xml:space="preserve">Followers / Lead</t>
  </si>
  <si>
    <t xml:space="preserve">Documents की ये 4 galtiyan admission रोक देती हैं.</t>
  </si>
  <si>
    <t xml:space="preserve">Name mismatch across documents, blurry scans, missing consolidated marksheet, Aadhaar-mobile not linked (ABC ID) — all from source checklist.</t>
  </si>
  <si>
    <t xml:space="preserve">Documents की ये 4 galtiyan admission रोक देती हैं.
1) Naam documents mein alag-alag 2) blurry scan 3) graduation ki consolidated marksheet missing 4) Aadhaar se mobile link nahi (ABC/APAAR ID ke liye zaroori) (SOURCE). Hum pre-check karte hain taaki application reject na ho.
Guidance is based on your qualification and each university's current program eligibility. Fees are shown exactly as published by the university.
Save this. Full checklist at DegreeComplete.in/documents-required. · DM/WhatsApp “DOCS” · 98 33 07 44 76</t>
  </si>
  <si>
    <t xml:space="preserve">Save this. Full checklist at DegreeComplete.in/documents-required.</t>
  </si>
  <si>
    <t xml:space="preserve">Vertical: four document thumbnails with red/green markers on navy; Indian student's phone scanning.</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</si>
  <si>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four document thumbnails with red/green markers on navy; Indian student's phone scanning.</t>
  </si>
  <si>
    <t xml:space="preserve">Lead magnet · MBA specialization guide</t>
  </si>
  <si>
    <t xml:space="preserve">MBA Specialization Guide — कौन सा आपके career के लिए?</t>
  </si>
  <si>
    <t xml:space="preserve">Lead magnet 7: Finance, Marketing, HR, Analytics, Operations, Digital Marketing, IT — who it suits, roles, which partners offer it (SOURCE).</t>
  </si>
  <si>
    <t xml:space="preserve">MBA Specialization Guide — कौन सा आपके career के लिए?
Har specialization ke liye: kis profile ko suit karta hai, kaunse roles, aur kaunsi partner universities offer karti hain (SOURCE catalogue). Guide WhatsApp par free.
Guidance is based on your qualification and each university's current program eligibility. Fees are shown exactly as published by the university.
Message SPECIALIZATION. · DM/WhatsApp “SPECIALIZATION” · 98 33 07 44 76</t>
  </si>
  <si>
    <t xml:space="preserve">Message SPECIALIZATION.</t>
  </si>
  <si>
    <t xml:space="preserve">SPECIALIZATION</t>
  </si>
  <si>
    <t xml:space="preserve">Seven abstract specialization tiles around a young Indian professional;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</si>
  <si>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Seven abstract specialization tiles around a young Indian professional; navy-gold.</t>
  </si>
  <si>
    <t xml:space="preserve">12th pass हो? Online BBA के लिए आज eligibility check करो.</t>
  </si>
  <si>
    <t xml:space="preserve">Direct lead post: eligibility + fee range + no entrance (SOURCE).</t>
  </si>
  <si>
    <t xml:space="preserve">12th pass हो? Online BBA के लिए आज eligibility check करो.
Kisi bhi stream se 12th pass — Online BBA ke liye eligible ho sakte ho (SOURCE). Fees ₹64,000 se ₹1.5 lakh (verify current), EMI options. 2 minute ka eligibility check, phir decision aapka.
Guidance is based on your qualification and each university's current program eligibility. Fees are shown exactly as published by the university.
Check My Eligibility — link in bio. · DM/WhatsApp “BBA” · 98 33 07 44 76</t>
  </si>
  <si>
    <t xml:space="preserve">Young Indian woman, 19, with a tablet outside a college gate (generic), confident;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</si>
  <si>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Young Indian woman, 19, with a tablet outside a college gate (generic), confident; navy-gold.</t>
  </si>
  <si>
    <t xml:space="preserve">Career upgrade guide</t>
  </si>
  <si>
    <t xml:space="preserve">Career Upgrade Guide: degree + skill = promotion.</t>
  </si>
  <si>
    <t xml:space="preserve">Lead magnet 9: which PG/certificate fits which career stage; PG certificates (UPES) and MBA options (SOURCE).</t>
  </si>
  <si>
    <t xml:space="preserve">Career Upgrade Guide: degree + skill = promotion.
Career ke stage ke hisaab se: entry level → graduation complete; 2–5 saal → MBA/MCA; 5+ saal → Executive/PG certificate (SOURCE options). Guide free — apna stage batao.
Guidance is based on your qualification and each university's current program eligibility. Fees are shown exactly as published by the university.
Message UPGRADE. · DM/WhatsApp “UPGRADE” · 98 33 07 44 76</t>
  </si>
  <si>
    <t xml:space="preserve">Message UPGRADE.</t>
  </si>
  <si>
    <t xml:space="preserve">UPGRADE</t>
  </si>
  <si>
    <t xml:space="preserve">Vertical: staircase graphic with gold steps, Indian professional climbing; navy.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</si>
  <si>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staircase graphic with gold steps, Indian professional climbing; navy.</t>
  </si>
  <si>
    <t xml:space="preserve">Lead magnet · Course &amp; fee comparison</t>
  </si>
  <si>
    <t xml:space="preserve">Course &amp; Fee Comparison — 4 programs side by side, free.</t>
  </si>
  <si>
    <t xml:space="preserve">Lead magnet 6: demo of /compare with real fields (registration, exam, semester, annual, total, EMI, eligibility, documents).</t>
  </si>
  <si>
    <t xml:space="preserve">Course &amp; Fee Comparison — 4 programs side by side, free.
4 programs side-by-side: eligibility, duration, registration/exam/semester/annual/total fee, EMI, documents — sab ek screen par. Compare karo, phir advisor se confirm karo.
Guidance is based on your qualification and each university's current program eligibility. Fees are shown exactly as published by the university.
Compare now — link in bio. · DM/WhatsApp “COMPARE” · 98 33 07 44 76</t>
  </si>
  <si>
    <t xml:space="preserve">Compare now — link in bio.</t>
  </si>
  <si>
    <t xml:space="preserve">Laptop screen with a four-column comparison grid (abstract), Indian student comparing;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</si>
  <si>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Laptop screen with a four-column comparison grid (abstract), Indian student comparing; navy-gold.</t>
  </si>
  <si>
    <t xml:space="preserve">Compare completed</t>
  </si>
  <si>
    <t xml:space="preserve">Talk to an expert</t>
  </si>
  <si>
    <t xml:space="preserve">Lead / Call</t>
  </si>
  <si>
    <t xml:space="preserve">BOFU</t>
  </si>
  <si>
    <t xml:space="preserve">Aaj ek call — aur clarity mil jaayegi.</t>
  </si>
  <si>
    <t xml:space="preserve">Story CTA day: 'Call an Education Expert' + WhatsApp; static summarising the four free tools.</t>
  </si>
  <si>
    <t xml:space="preserve">Aaj ek call — aur clarity mil jaayegi.
Course Finder, Eligibility Check, University Comparison, Documents Checklist — chaar free tools. Aur ek advisor jo sach batata hai. Call ya WhatsApp: 98 33 07 44 76.
Guidance is based on your qualification and each university's current program eligibility. Fees are shown exactly as published by the university.
Call an Education Expert: 98 33 07 44 76. · DM/WhatsApp “CALL” · 98 33 07 44 76</t>
  </si>
  <si>
    <t xml:space="preserve">Call an Education Expert: 98 33 07 44 76.</t>
  </si>
  <si>
    <t xml:space="preserve">Vertical story: phone with call and WhatsApp buttons on navy, gold headline.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</si>
  <si>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story composition, consistent navy-gold-white branding, no fake logos, no unnecessary text, no watermark. Scene: Vertical story: phone with call and WhatsApp buttons on navy, gold headline.</t>
  </si>
  <si>
    <t xml:space="preserve">Calls</t>
  </si>
  <si>
    <t xml:space="preserve">[CALL] [WHATSAPP]</t>
  </si>
  <si>
    <t xml:space="preserve">CONVERSION CONTENT</t>
  </si>
  <si>
    <t xml:space="preserve">Countdown-free CTA stories: Call / WhatsApp / Check eligibility link stickers</t>
  </si>
  <si>
    <t xml:space="preserve">Phase 5 · Performance scale</t>
  </si>
  <si>
    <t xml:space="preserve">Video Ad (Reel)</t>
  </si>
  <si>
    <t xml:space="preserve">Awareness · Career growth</t>
  </si>
  <si>
    <t xml:space="preserve">Awareness / Video views</t>
  </si>
  <si>
    <t xml:space="preserve">22–34</t>
  </si>
  <si>
    <t xml:space="preserve">Maharashtra primary + expansion test: Delhi NCR, Bengaluru, Hyderabad, Ahmedabad, Jaipur, Lucknow (Online programs only; check ODL jurisdiction separately)</t>
  </si>
  <si>
    <t xml:space="preserve">आपका अगला promotion एक degree दूर हो सकता है.</t>
  </si>
  <si>
    <t xml:space="preserve">PA-05 Awareness 1/6. 15-sec cinematic: professional's day, subtle text; no hard sell; ThruPlay optimised.</t>
  </si>
  <si>
    <t xml:space="preserve">आपका अगला promotion एक degree दूर हो सकता है.
Skill hai, experience hai — qualification ki line CV mein khaali hai? Online MBA se woh line bhar sakti hai, job chhode bina. Pehle dekho kaunse programs aapke liye open hain.
Guidance is based on your qualification and each university's current program eligibility. Fees are shown exactly as published by the university.
Explore Online MBA. · DM/WhatsApp “MBA” · 98 33 07 44 76</t>
  </si>
  <si>
    <t xml:space="preserve">Explore Online MBA.</t>
  </si>
  <si>
    <t xml:space="preserve">Vertical cinematic: Indian professional walking through a modern office lobby at morning, confident; navy grade, gold text.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</si>
  <si>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cinematic: Indian professional walking through a modern office lobby at morning, confident; navy grade, gold text.</t>
  </si>
  <si>
    <t xml:space="preserve">Video views (ThruPlay)</t>
  </si>
  <si>
    <t xml:space="preserve">ThruPlay rate</t>
  </si>
  <si>
    <t xml:space="preserve">Cost per ThruPlay</t>
  </si>
  <si>
    <t xml:space="preserve">[REACH] [RETARGETING]</t>
  </si>
  <si>
    <t xml:space="preserve">MBA · Qualification upgrade</t>
  </si>
  <si>
    <t xml:space="preserve">Graduate हो, job है — अब MBA. बिना entrance exam.</t>
  </si>
  <si>
    <t xml:space="preserve">PA-06 Lead 5/10. Static with 3 facts + instant form (qualification, work-ex, city).</t>
  </si>
  <si>
    <t xml:space="preserve">Graduate हो, job है — अब MBA. बिना entrance exam.
Most partner universities mein Online MBA ke liye entrance exam nahi hai — bachelor's degree aur minimum marks kaafi hain (SOURCE). 2 saal, online exams, EMI options. Eligibility check free.
Guidance is based on your qualification and each university's current program eligibility. Fees are shown exactly as published by the university.
Check My Eligibility · DM/WhatsApp “MBA” · 98 33 07 44 76</t>
  </si>
  <si>
    <t xml:space="preserve">Indian professional woman, 29, at a standing desk, city view; navy overlay with gold line.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</si>
  <si>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professional woman, 29, at a standing desk, city view; navy overlay with gold line.</t>
  </si>
  <si>
    <t xml:space="preserve">Leads (instant form)</t>
  </si>
  <si>
    <t xml:space="preserve">Lead form conversion</t>
  </si>
  <si>
    <t xml:space="preserve">Awareness · Graduation</t>
  </si>
  <si>
    <t xml:space="preserve">Graduation अधूरी रह गई थी — अब नहीं.</t>
  </si>
  <si>
    <t xml:space="preserve">PA-07 Awareness 2/6. 12-sec emotional but composed: an old marksheet, a new login; text-light.</t>
  </si>
  <si>
    <t xml:space="preserve">Graduation अधूरी रह गई थी — अब नहीं.
Zindagi ne graduation pause kar di thi. Online BA/B.Com se woh pause ab khatam ho sakta hai — ghar se, job ke saath, 12th pass eligibility (SOURCE).
Guidance is based on your qualification and each university's current program eligibility. Fees are shown exactly as published by the university.
See how it works. · DM/WhatsApp “GRADUATION” · 98 33 07 44 76</t>
  </si>
  <si>
    <t xml:space="preserve">See how it works.</t>
  </si>
  <si>
    <t xml:space="preserve">Vertical: hands opening an old marksheet folder, cut to a laptop login screen (abstract), warm-to-navy grade.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</si>
  <si>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hands opening an old marksheet folder, cut to a laptop login screen (abstract), warm-to-navy grade.</t>
  </si>
  <si>
    <t xml:space="preserve">BBA · Flexible degree</t>
  </si>
  <si>
    <t xml:space="preserve">College नहीं जा सकते? BBA फिर भी हो सकता है.</t>
  </si>
  <si>
    <t xml:space="preserve">PA-08 Lead 6/10. Vertical: student at work/home, phone with program list; instant form.</t>
  </si>
  <si>
    <t xml:space="preserve">College नहीं जा सकते? BBA फिर भी हो सकता है.
Family business, job ya doori ki wajah se college nahi ja paate? Online BBA mein classes online, exams online, 3 saal (SOURCE). Eligibility 12th pass. Free check.
Guidance is based on your qualification and each university's current program eligibility. Fees are shown exactly as published by the university.
Check My Eligibility · DM/WhatsApp “BBA” · 98 33 07 44 76</t>
  </si>
  <si>
    <t xml:space="preserve">Vertical: young Indian man at a family shop counter with a laptop; warm light; navy text area.</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</si>
  <si>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young Indian man at a family shop counter with a laptop; warm light; navy text area.</t>
  </si>
  <si>
    <t xml:space="preserve">Engagement Ad (Carousel)</t>
  </si>
  <si>
    <t xml:space="preserve">Engagement · Online vs Distance</t>
  </si>
  <si>
    <t xml:space="preserve">Online या Distance? 30 seconds में decide.</t>
  </si>
  <si>
    <t xml:space="preserve">PA-09 Engagement 1/4. Boost of the Day-3 carousel logic with a comment CTA; builds engager audience.</t>
  </si>
  <si>
    <t xml:space="preserve">Online या Distance? 30 seconds में decide.
Mode ka decision location, schedule aur course par hota hai. Comment mein apna city aur course likho — hum batayenge Online ya Distance aapke liye kaunsa fit hai.
Guidance is based on your qualification and each university's current program eligibility. Fees are shown exactly as published by the university.
Comment your city + course. · DM/WhatsApp “MODE” · 98 33 07 44 76</t>
  </si>
  <si>
    <t xml:space="preserve">Comment your city + course.</t>
  </si>
  <si>
    <t xml:space="preserve">Split navy/gold carousel cover with two Indian students; clean typography zone.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</si>
  <si>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Split navy/gold carousel cover with two Indian students; clean typography zone.</t>
  </si>
  <si>
    <t xml:space="preserve">Engagement (post)</t>
  </si>
  <si>
    <t xml:space="preserve">[ENGAGEMENT] [RETARGETING]</t>
  </si>
  <si>
    <t xml:space="preserve">BCA · IT career</t>
  </si>
  <si>
    <t xml:space="preserve">12th pass, tech</t>
  </si>
  <si>
    <t xml:space="preserve">12th के बाद IT career — Online BCA (AI / Data / Cyber).</t>
  </si>
  <si>
    <t xml:space="preserve">PA-10 Lead 7/10. Static, specialization chips, instant form.</t>
  </si>
  <si>
    <t xml:space="preserve">12th के बाद IT career — Online BCA (AI / Data / Cyber).
AI &amp; Data Science, Cyber Security, Cloud — Online BCA specializations partner universities mein (SOURCE). 3 saal, ghar se. Kuch universities 12th mein Maths maangti hain — pehle eligibility check.
Guidance is based on your qualification and each university's current program eligibility. Fees are shown exactly as published by the university.
Check My Eligibility · DM/WhatsApp “BCA” · 98 33 07 44 76</t>
  </si>
  <si>
    <t xml:space="preserve">Indian teenager with a laptop, abstract circuit motif, navy setup with gold accent.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</si>
  <si>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teenager with a laptop, abstract circuit motif, navy setup with gold accent.</t>
  </si>
  <si>
    <t xml:space="preserve">Traffic Ad (Static)</t>
  </si>
  <si>
    <t xml:space="preserve">Traffic · MBA comparison</t>
  </si>
  <si>
    <t xml:space="preserve">Online MBA: 20+ universities, एक page पर compare.</t>
  </si>
  <si>
    <t xml:space="preserve">PA-11 Traffic 1/4. Drive to /online-mba with fee-from figure (verify current).</t>
  </si>
  <si>
    <t xml:space="preserve">Online MBA: 20+ universities, एक page पर compare.
Eligibility, duration, fee breakup aur specializations — partner universities ke Online MBA programs ek page par. Lowest fee first, koi hidden charge nahi.
Guidance is based on your qualification and each university's current program eligibility. Fees are shown exactly as published by the university.
Compare Universities · DM/WhatsApp “MBA” · 98 33 07 44 76</t>
  </si>
  <si>
    <t xml:space="preserve">Compare Universities</t>
  </si>
  <si>
    <t xml:space="preserve">Laptop with a program grid (abstract) on a white desk; Indian professional's hands;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</si>
  <si>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Laptop with a program grid (abstract) on a white desk; Indian professional's hands; navy header.</t>
  </si>
  <si>
    <t xml:space="preserve">Traffic (landing page views)</t>
  </si>
  <si>
    <t xml:space="preserve">Landing page views</t>
  </si>
  <si>
    <t xml:space="preserve">CPC</t>
  </si>
  <si>
    <t xml:space="preserve">[WEBSITE TRAFFIC] [RETARGETING]</t>
  </si>
  <si>
    <t xml:space="preserve">Awareness · Tech upgrade</t>
  </si>
  <si>
    <t xml:space="preserve">Graduate से AI/Data professional — Online MCA.</t>
  </si>
  <si>
    <t xml:space="preserve">PA-12 Awareness 3/6. 12-sec: graduate's laptop transforms (abstract), specializations flash.</t>
  </si>
  <si>
    <t xml:space="preserve">Graduate से AI/Data professional — Online MCA.
Online MCA mein AI &amp; ML, Data Science, Cyber Security jaise specializations (SOURCE). 2 saal, job ke saath. Maths eligibility clear hai toh raasta open hai.
Guidance is based on your qualification and each university's current program eligibility. Fees are shown exactly as published by the university.
Explore Online MCA. · DM/WhatsApp “MCA” · 98 33 07 44 76</t>
  </si>
  <si>
    <t xml:space="preserve">Explore Online MCA.</t>
  </si>
  <si>
    <t xml:space="preserve">Vertical: Indian graduate at a desk, abstract data streams over navy; gold accents.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</si>
  <si>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graduate at a desk, abstract data streams over navy; gold accents.</t>
  </si>
  <si>
    <t xml:space="preserve">Graduation · Working professional</t>
  </si>
  <si>
    <t xml:space="preserve">Working, no degree</t>
  </si>
  <si>
    <t xml:space="preserve">22–36</t>
  </si>
  <si>
    <t xml:space="preserve">Job में हो, degree नहीं है? Online B.Com/BA — 12th pass से.</t>
  </si>
  <si>
    <t xml:space="preserve">PA-13 Lead 8/10. Vertical testimonial-free; facts + instant form.</t>
  </si>
  <si>
    <t xml:space="preserve">Job में हो, degree नहीं है? Online B.Com/BA — 12th pass से.
12th ke baad seedha kaam shuru kar diya tha? Ab Online BA/B.Com se graduation complete karo — most universities mein bina entrance exam, 3 saal, ghar se (SOURCE). Eligibility check free.
Guidance is based on your qualification and each university's current program eligibility. Fees are shown exactly as published by the university.
Check My Eligibility · DM/WhatsApp “GRADUATION” · 98 33 07 44 76</t>
  </si>
  <si>
    <t xml:space="preserve">Vertical: Indian delivery-rider/office assistant persona in uniform, phone in hand at a break, hopeful; navy text band.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</si>
  <si>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delivery-rider/office assistant persona in uniform, phone in hand at a break, hopeful; navy text band.</t>
  </si>
  <si>
    <t xml:space="preserve">Engagement Ad (Reel)</t>
  </si>
  <si>
    <t xml:space="preserve">Engagement · Mistakes</t>
  </si>
  <si>
    <t xml:space="preserve">University choose करने से पहले ये mistake मत करना.</t>
  </si>
  <si>
    <t xml:space="preserve">PA-14 Engagement 2/4. Boost of a mistakes reel; save/share CTA.</t>
  </si>
  <si>
    <t xml:space="preserve">University choose करने से पहले ये mistake मत करना.
Ad dekh kar university mat chuno. Recognition (apne session ke liye), eligibility, likhit fee aur support — chaar cheezein pehle. Save karo, kisi ko bhejo jo enrol karne wala hai.
Guidance is based on your qualification and each university's current program eligibility. Fees are shown exactly as published by the university.
Save and share. · DM/WhatsApp “VERIFY” · 98 33 07 44 76</t>
  </si>
  <si>
    <t xml:space="preserve">Save and share.</t>
  </si>
  <si>
    <t xml:space="preserve">Vertical: Indian student stopping a 'pay now' button (abstract) with a hand;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</si>
  <si>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student stopping a 'pay now' button (abstract) with a hand; navy-gold.</t>
  </si>
  <si>
    <t xml:space="preserve">Engagement (video)</t>
  </si>
  <si>
    <t xml:space="preserve">Saves + shares</t>
  </si>
  <si>
    <t xml:space="preserve">ThruPlay</t>
  </si>
  <si>
    <t xml:space="preserve">Traffic Ad (Carousel)</t>
  </si>
  <si>
    <t xml:space="preserve">BBA / BCA</t>
  </si>
  <si>
    <t xml:space="preserve">Traffic · After 12th</t>
  </si>
  <si>
    <t xml:space="preserve">12th के बाद online degree — सारे options एक जगह.</t>
  </si>
  <si>
    <t xml:space="preserve">PA-15 Traffic 2/4. Drive to /online-degree-after-12th; cards for BBA, BCA, BA, B.Com.</t>
  </si>
  <si>
    <t xml:space="preserve">12th के बाद online degree — सारे options एक जगह.
BBA, BCA, BA, B.Com — 12th ke baad ke saare online options, eligibility aur fees ke saath ek page par. Apne 12th subjects ke hisaab se filter karo.
Guidance is based on your qualification and each university's current program eligibility. Fees are shown exactly as published by the university.
View Programs · DM/WhatsApp “12TH” · 98 33 07 44 76</t>
  </si>
  <si>
    <t xml:space="preserve">View Programs</t>
  </si>
  <si>
    <t xml:space="preserve">12TH</t>
  </si>
  <si>
    <t xml:space="preserve">Four program tiles with abstract icons, young Indian student centre;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</si>
  <si>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Four program tiles with abstract icons, young Indian student centre; navy-gold.</t>
  </si>
  <si>
    <t xml:space="preserve">Awareness · Career foundation</t>
  </si>
  <si>
    <t xml:space="preserve">Business की foundation — BBA, घर से.</t>
  </si>
  <si>
    <t xml:space="preserve">PA-16 Awareness 4/6. 12-sec: student + parent, business setting, subtle.</t>
  </si>
  <si>
    <t xml:space="preserve">Business की foundation — BBA, घर से.
Family business sambhalna ho ya corporate career shuru karni ho — Online BBA se management ki foundation ghar se banti hai. 3 saal, 12th pass eligibility (SOURCE).
Guidance is based on your qualification and each university's current program eligibility. Fees are shown exactly as published by the university.
Explore Online BBA. · DM/WhatsApp “BBA” · 98 33 07 44 76</t>
  </si>
  <si>
    <t xml:space="preserve">Explore Online BBA.</t>
  </si>
  <si>
    <t xml:space="preserve">Vertical: father and daughter at a small business counter, tablet in hand; warm light; navy text area.</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</si>
  <si>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father and daughter at a small business counter, tablet in hand; warm light; navy text area.</t>
  </si>
  <si>
    <t xml:space="preserve">MBA · Affordable / flexible</t>
  </si>
  <si>
    <t xml:space="preserve">Graduates, budget-conscious</t>
  </si>
  <si>
    <t xml:space="preserve">Online MBA ₹62,000 से — EMI के साथ. (University के हिसाब से)</t>
  </si>
  <si>
    <t xml:space="preserve">PA-17 Lead 9/10. Fee-from creative (verify current) + EMI mention; instant form with budget field.</t>
  </si>
  <si>
    <t xml:space="preserve">Online MBA ₹62,000 से — EMI के साथ. (University के हिसाब से)
Partner universities mein Online MBA ki total fee ₹62,000 se shuru hoti hai (SOURCE, verify current) aur kai mein EMI options hain. Budget batao — hum uske andar eligible programs dikhayenge.
Guidance is based on your qualification and each university's current program eligibility. Fees are shown exactly as published by the university.
Get Fee Details · DM/WhatsApp “MBAFEES” · 98 33 07 44 76</t>
  </si>
  <si>
    <t xml:space="preserve">Get Fee Details</t>
  </si>
  <si>
    <t xml:space="preserve">Indian professional at a home desk with a calculator and laptop; white and navy, gold rupee accent.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</si>
  <si>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professional at a home desk with a calculator and laptop; white and navy, gold rupee accent.</t>
  </si>
  <si>
    <t xml:space="preserve">Budget-qualified rate</t>
  </si>
  <si>
    <t xml:space="preserve">Traffic Ad (Reel)</t>
  </si>
  <si>
    <t xml:space="preserve">Traffic · Course Finder</t>
  </si>
  <si>
    <t xml:space="preserve">5 सवाल → आपके eligible programs.</t>
  </si>
  <si>
    <t xml:space="preserve">PA-18 Traffic 3/4. Screen-record reel of /find-course.</t>
  </si>
  <si>
    <t xml:space="preserve">5 सवाल → आपके eligible programs.
Qualification, course, mode, budget, goal — 5 sawaal ke baad sirf wahi programs jinke liye aap eligible ho. Free, 2 minute.
Guidance is based on your qualification and each university's current program eligibility. Fees are shown exactly as published by the university.
Find My Course · DM/WhatsApp “COURSE” · 98 33 07 44 76</t>
  </si>
  <si>
    <t xml:space="preserve">Find My Course</t>
  </si>
  <si>
    <t xml:space="preserve">Vertical: phone screen recording of the finder on navy; gold progress dots.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</si>
  <si>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phone screen recording of the finder on navy; gold progress dots.</t>
  </si>
  <si>
    <t xml:space="preserve">MBA · Specialization</t>
  </si>
  <si>
    <t xml:space="preserve">Finance, Marketing, HR, Analytics — आपका MBA specialization?</t>
  </si>
  <si>
    <t xml:space="preserve">PA-19 Lead 10/10. Vertical with specialization chips; instant form asks target specialization.</t>
  </si>
  <si>
    <t xml:space="preserve">Finance, Marketing, HR, Analytics — आपका MBA specialization?
Partner universities mein Finance, Marketing, HR, Business Analytics, Operations, Digital Marketing, IT jaise MBA specializations (SOURCE). Apna target role batao — hum matching programs aur fees bhejenge.
Guidance is based on your qualification and each university's current program eligibility. Fees are shown exactly as published by the university.
Get Course Details · DM/WhatsApp “SPECIALIZATION” · 98 33 07 44 76</t>
  </si>
  <si>
    <t xml:space="preserve">Get Course Details</t>
  </si>
  <si>
    <t xml:space="preserve">Vertical: Indian professional choosing a card from a fan of seven (abstract labels),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</si>
  <si>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professional choosing a card from a fan of seven (abstract labels), navy-gold.</t>
  </si>
  <si>
    <t xml:space="preserve">Phase 6 · Retargeting &amp; conversion</t>
  </si>
  <si>
    <t xml:space="preserve">Retargeting Ad (Static)</t>
  </si>
  <si>
    <t xml:space="preserve">Retargeting · Still deciding</t>
  </si>
  <si>
    <t xml:space="preserve">Retargeting / Lead</t>
  </si>
  <si>
    <t xml:space="preserve">Engagers + video viewers (30d)</t>
  </si>
  <si>
    <t xml:space="preserve">Retargeting audiences only (all locations where the audience exists)</t>
  </si>
  <si>
    <t xml:space="preserve">अभी भी confused? चलिए साथ में decide करते हैं.</t>
  </si>
  <si>
    <t xml:space="preserve">PA-20 Retargeting 1/3. Soft message to Instagram engagers and video viewers; CTA to Course Finder.</t>
  </si>
  <si>
    <t xml:space="preserve">अभी भी confused? चलिए साथ में decide करते हैं.
Aapne humare posts dekhe — matlab decision chal raha hai. Bina pressure ke: 5 sawaal, eligible programs, aur ek advisor jo sach batata hai. Jab ready ho, tab.
Guidance is based on your qualification and each university's current program eligibility. Fees are shown exactly as published by the university.
Find My Course · DM/WhatsApp “COURSE” · 98 33 07 44 76</t>
  </si>
  <si>
    <t xml:space="preserve">Calm Indian student on a balcony with a notebook, thinking; navy-gold minimal.</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</si>
  <si>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Calm Indian student on a balcony with a notebook, thinking; navy-gold minimal.</t>
  </si>
  <si>
    <t xml:space="preserve">Leads / Traffic (retargeting: engagers 30d)</t>
  </si>
  <si>
    <t xml:space="preserve">Cost per lead (retarget)</t>
  </si>
  <si>
    <t xml:space="preserve">Frequency</t>
  </si>
  <si>
    <t xml:space="preserve">[RETARGETING] [LEAD]</t>
  </si>
  <si>
    <t xml:space="preserve">Retargeting Ad (Reel)</t>
  </si>
  <si>
    <t xml:space="preserve">Retargeting · Course-page visitors</t>
  </si>
  <si>
    <t xml:space="preserve">Website + MBA page visitors (30d)</t>
  </si>
  <si>
    <t xml:space="preserve">आपने MBA programs देखे — eligibility check किया?</t>
  </si>
  <si>
    <t xml:space="preserve">PA-21 Retargeting 2/3. Pixel audience: viewed /online-mba or program pages, no lead.</t>
  </si>
  <si>
    <t xml:space="preserve">आपने MBA programs देखे — eligibility check किया?
Programs dekh liye, fees dekh li — ab sirf ek step: eligibility. 2 minute, free, aur aapko pata chal jaayega kaunse programs actually open hain.
Guidance is based on your qualification and each university's current program eligibility. Fees are shown exactly as published by the university.
Check My Eligibility · DM/WhatsApp “MBA” · 98 33 07 44 76</t>
  </si>
  <si>
    <t xml:space="preserve">Vertical: phone showing a program page (abstract) with a gold 'eligible' tick; navy background.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</si>
  <si>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phone showing a program page (abstract) with a gold 'eligible' tick; navy background.</t>
  </si>
  <si>
    <t xml:space="preserve">Leads (retargeting: website visitors 30d, exclude leads)</t>
  </si>
  <si>
    <t xml:space="preserve">Conversion rate</t>
  </si>
  <si>
    <t xml:space="preserve">Conversion Ad (Static)</t>
  </si>
  <si>
    <t xml:space="preserve">Conversion · Leads not applied</t>
  </si>
  <si>
    <t xml:space="preserve">Conversion</t>
  </si>
  <si>
    <t xml:space="preserve">Leads without application (CRM)</t>
  </si>
  <si>
    <t xml:space="preserve">Aapki eligibility clear hai — अब application सिर्फ 10 minute.</t>
  </si>
  <si>
    <t xml:space="preserve">PA-22 Conversion 1/3. Custom audience from CRM (lead submitted, no application). CTA Apply Now.</t>
  </si>
  <si>
    <t xml:space="preserve">Aapki eligibility clear hai — अब application सिर्फ 10 minute.
Eligibility confirm ho chuki hai. Application form 10 minute ka hai, documents baad mein dashboard se upload kar sakte ho, aur fees seedha university ko. Aapka counsellor saath hai.
Guidance is based on your qualification and each university's current program eligibility. Fees are shown exactly as published by the university.
Start Your Application · DM/WhatsApp “APPLY” · 98 33 07 44 76</t>
  </si>
  <si>
    <t xml:space="preserve">Start Your Application</t>
  </si>
  <si>
    <t xml:space="preserve">APPLY</t>
  </si>
  <si>
    <t xml:space="preserve">Indian student pressing 'Apply' on a laptop (abstract), relaxed smile; white desk,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</si>
  <si>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student pressing 'Apply' on a laptop (abstract), relaxed smile; white desk, navy header.</t>
  </si>
  <si>
    <t xml:space="preserve">Conversions (custom audience: leads without application)</t>
  </si>
  <si>
    <t xml:space="preserve">/apply</t>
  </si>
  <si>
    <t xml:space="preserve">Application starts</t>
  </si>
  <si>
    <t xml:space="preserve">Cost per application</t>
  </si>
  <si>
    <t xml:space="preserve">[APPLICATION] [RETARGETING]</t>
  </si>
  <si>
    <t xml:space="preserve">Engagement Ad (Story)</t>
  </si>
  <si>
    <t xml:space="preserve">Engagement · FAQ</t>
  </si>
  <si>
    <t xml:space="preserve">Engagers + visitors</t>
  </si>
  <si>
    <t xml:space="preserve">आपके top 5 सवाल — जवाब यहाँ.</t>
  </si>
  <si>
    <t xml:space="preserve">PA-23 Engagement 3/4. Story-format ad answering FAQs (recognition, fees, EMI, exams, documents) with poll stickers.</t>
  </si>
  <si>
    <t xml:space="preserve">आपके top 5 सवाल — जवाब यहाँ.
1) Recognition session-wise verify hoti hai 2) Fees university ko jaati hai 3) EMI kai universities mein 4) Exams online (ODL mein centre ho sakta hai) 5) Documents soft copy, pehle verify. Aur sawaal? Reply karo.
Guidance is based on your qualification and each university's current program eligibility. Fees are shown exactly as published by the university.
Reply with your question. · DM/WhatsApp “ASK” · 98 33 07 44 76</t>
  </si>
  <si>
    <t xml:space="preserve">Reply with your question.</t>
  </si>
  <si>
    <t xml:space="preserve">Vertical story: five Q&amp;A cards on navy with gold numbers.</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</si>
  <si>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story composition, consistent navy-gold-white branding, no fake logos, no unnecessary text, no watermark. Scene: Vertical story: five Q&amp;A cards on navy with gold numbers.</t>
  </si>
  <si>
    <t xml:space="preserve">Engagement (story)</t>
  </si>
  <si>
    <t xml:space="preserve">Sticker taps</t>
  </si>
  <si>
    <t xml:space="preserve">Retargeting · Eligibility started, not submitted</t>
  </si>
  <si>
    <t xml:space="preserve">Eligibility-form openers (14d)</t>
  </si>
  <si>
    <t xml:space="preserve">Eligibility check अधूरा रह गया — 1 minute में complete करो.</t>
  </si>
  <si>
    <t xml:space="preserve">PA-24 Retargeting 3/3. Audience: started form, did not submit.</t>
  </si>
  <si>
    <t xml:space="preserve">Eligibility check अधूरा रह गया — 1 minute में complete करो.
Aapne eligibility check shuru kiya tha. Bas naam aur number — aur advisor aapko bata dega kaunse graduation options open hain. Koi obligation nahi.
Guidance is based on your qualification and each university's current program eligibility. Fees are shown exactly as published by the university.
Complete My Eligibility Check · DM/WhatsApp “GRADUATION” · 98 33 07 44 76</t>
  </si>
  <si>
    <t xml:space="preserve">Complete My Eligibility Check</t>
  </si>
  <si>
    <t xml:space="preserve">Half-filled form on a phone (abstract) with a gold arrow; Indian student's hand; navy.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</si>
  <si>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Half-filled form on a phone (abstract) with a gold arrow; Indian student's hand; navy.</t>
  </si>
  <si>
    <t xml:space="preserve">Leads (retargeting: form opened, not submitted 14d)</t>
  </si>
  <si>
    <t xml:space="preserve">Form completion rate</t>
  </si>
  <si>
    <t xml:space="preserve">Conversion Ad (Reel)</t>
  </si>
  <si>
    <t xml:space="preserve">Conversion · Application started, incomplete</t>
  </si>
  <si>
    <t xml:space="preserve">Application started, no documents (CRM)</t>
  </si>
  <si>
    <t xml:space="preserve">Application बन गई है — documents upload बाकी हैं.</t>
  </si>
  <si>
    <t xml:space="preserve">PA-25 Conversion 2/3. CRM audience; reel showing the dashboard upload (abstract) + counsellor help.</t>
  </si>
  <si>
    <t xml:space="preserve">Application बन गई है — documents upload बाकी हैं.
Aapki application ID ready hai. Sirf documents upload baaki hain — dashboard se 5 minute mein. Scan mein dikkat? Counsellor WhatsApp par help karega.
Guidance is based on your qualification and each university's current program eligibility. Fees are shown exactly as published by the university.
Upload Documents · DM/WhatsApp “DOCS” · 98 33 07 44 76</t>
  </si>
  <si>
    <t xml:space="preserve">Upload Documents</t>
  </si>
  <si>
    <t xml:space="preserve">Vertical: dashboard upload screen (abstract) on a laptop, gold progress bar; navy.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</si>
  <si>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dashboard upload screen (abstract) on a laptop, gold progress bar; navy.</t>
  </si>
  <si>
    <t xml:space="preserve">Conversions (custom audience: applications without documents)</t>
  </si>
  <si>
    <t xml:space="preserve">/student/dashboard</t>
  </si>
  <si>
    <t xml:space="preserve">Documents submitted</t>
  </si>
  <si>
    <t xml:space="preserve">Application completion rate</t>
  </si>
  <si>
    <t xml:space="preserve">Awareness · Brand</t>
  </si>
  <si>
    <t xml:space="preserve">Lookalike of leads (1%)</t>
  </si>
  <si>
    <t xml:space="preserve">One platform. 26+ universities. Zero guesswork.</t>
  </si>
  <si>
    <t xml:space="preserve">PA-26 Awareness 5/6. Brand film 15-sec for lookalike audiences built from qualified leads.</t>
  </si>
  <si>
    <t xml:space="preserve">One platform. 26+ universities. Zero guesswork.
Explore, compare, check eligibility, apply, track — sab ek jagah, aur ek counsellor degree tak. Mumbai Institute for Online &amp; Distance Learning ka student platform: DegreeComplete.in.
Guidance is based on your qualification and each university's current program eligibility. Fees are shown exactly as published by the university.
Explore Universities · DM/WhatsApp “HELLO” · 98 33 07 44 76</t>
  </si>
  <si>
    <t xml:space="preserve">Explore Universities</t>
  </si>
  <si>
    <t xml:space="preserve">Vertical brand montage: seal on white, Indian students and professionals in three settings, navy-gold typography.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</si>
  <si>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brand montage: seal on white, Indian students and professionals in three settings, navy-gold typography.</t>
  </si>
  <si>
    <t xml:space="preserve">Video views (lookalike 1% of leads)</t>
  </si>
  <si>
    <t xml:space="preserve">Traffic · Compare</t>
  </si>
  <si>
    <t xml:space="preserve">Apply करने से पहले options compare करो.</t>
  </si>
  <si>
    <t xml:space="preserve">PA-27 Traffic 4/4. Retarget engagers to /compare.</t>
  </si>
  <si>
    <t xml:space="preserve">Apply करने से पहले options compare करो.
4 programs side-by-side: eligibility, fees, duration, documents, EMI. Compare karo, phir decide karo — hum jaldi nahi karwate.
Guidance is based on your qualification and each university's current program eligibility. Fees are shown exactly as published by the university.
Compare Universities · DM/WhatsApp “COMPARE” · 98 33 07 44 76</t>
  </si>
  <si>
    <t xml:space="preserve">Comparison grid mock on a tablet, Indian student;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</si>
  <si>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Comparison grid mock on a tablet, Indian student; navy-gold.</t>
  </si>
  <si>
    <t xml:space="preserve">Traffic (retargeting: engagers 30d)</t>
  </si>
  <si>
    <t xml:space="preserve">Engagement · MBA myths</t>
  </si>
  <si>
    <t xml:space="preserve">Lookalike + engagers</t>
  </si>
  <si>
    <t xml:space="preserve">Online MBA के बारे में 5 myths.</t>
  </si>
  <si>
    <t xml:space="preserve">PA-28 Engagement 4/4. Myth/fact carousel for MBA; comment CTA.</t>
  </si>
  <si>
    <t xml:space="preserve">Online MBA के बारे में 5 myths.
Myth: online MBA 'kam' hota hai / entrance zaroori / sirf IT walon ke liye / ek hi university sahi / fees hidden. Fact: degree university ki, most mein no entrance (SOURCE), any-discipline eligibility, fit-based choice, fees likhit mein.
Guidance is based on your qualification and each university's current program eligibility. Fees are shown exactly as published by the university.
Comment MBA for the full guide. · DM/WhatsApp “MBA” · 98 33 07 44 76</t>
  </si>
  <si>
    <t xml:space="preserve">Comment MBA for the full guide.</t>
  </si>
  <si>
    <t xml:space="preserve">Myth/Fact two-tone carousel cover with an Indian professional;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</si>
  <si>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Myth/Fact two-tone carousel cover with an Indian professional; navy-gold.</t>
  </si>
  <si>
    <t xml:space="preserve">Conversion · Apply</t>
  </si>
  <si>
    <t xml:space="preserve">MBA leads qualified, not applied</t>
  </si>
  <si>
    <t xml:space="preserve">आपका MBA program shortlist है — application शुरू करें?</t>
  </si>
  <si>
    <t xml:space="preserve">PA-29 Conversion 3/3. CRM audience of qualified MBA leads; CTA Apply Now.</t>
  </si>
  <si>
    <t xml:space="preserve">आपका MBA program shortlist है — application शुरू करें?
Counsellor ne eligibility aur fees confirm kar di hain. Ab application: 10 minute form, documents dashboard se, fees university ko. Intake dates ke liye counsellor se poochho (SOURCE: two intakes/year at most universities).
Guidance is based on your qualification and each university's current program eligibility. Fees are shown exactly as published by the university.
Apply Now · DM/WhatsApp “APPLY” · 98 33 07 44 76</t>
  </si>
  <si>
    <t xml:space="preserve">Apply Now</t>
  </si>
  <si>
    <t xml:space="preserve">Indian professional signing on a tablet (abstract), gold pen; white desk,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</si>
  <si>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Indian professional signing on a tablet (abstract), gold pen; white desk, navy header.</t>
  </si>
  <si>
    <t xml:space="preserve">Conversions (custom audience: qualified MBA leads)</t>
  </si>
  <si>
    <t xml:space="preserve">[APPLICATION]</t>
  </si>
  <si>
    <t xml:space="preserve">Awareness · Second chance</t>
  </si>
  <si>
    <t xml:space="preserve">Lookalike of graduation leads</t>
  </si>
  <si>
    <t xml:space="preserve">21–36</t>
  </si>
  <si>
    <t xml:space="preserve">Second chance at graduation — from home.</t>
  </si>
  <si>
    <t xml:space="preserve">PA-30 Awareness 6/6. 12-sec brand-led graduation film for lookalikes.</t>
  </si>
  <si>
    <t xml:space="preserve">Second chance at graduation — from home.
Jo chhoot gaya tha, woh ab possible hai. Online BA/B.Com — 12th pass eligibility, ghar se, job ke saath (SOURCE). Eligibility check free.
Guidance is based on your qualification and each university's current program eligibility. Fees are shown exactly as published by the university.
See BA &amp; B.Com options. · DM/WhatsApp “GRADUATION” · 98 33 07 44 76</t>
  </si>
  <si>
    <t xml:space="preserve">Vertical: Indian woman at dawn by a window with a laptop, calm resolve; navy grade, gold text.</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</si>
  <si>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Indian woman at dawn by a window with a laptop, calm resolve; navy grade, gold text.</t>
  </si>
  <si>
    <t xml:space="preserve">Video views (lookalike 1% of graduation leads)</t>
  </si>
  <si>
    <t xml:space="preserve">Retargeting (organic) · Still deciding</t>
  </si>
  <si>
    <t xml:space="preserve">'Baad mein karenge' — यही सबसे महंगी decision है.</t>
  </si>
  <si>
    <t xml:space="preserve">Organic soft-retarget reel: cost of delay is a lost intake cycle (two intakes/year — SOURCE), not fake scarcity.</t>
  </si>
  <si>
    <t xml:space="preserve">'Baad mein karenge' — यही सबसे महंगी decision है.
Most universities mein saal mein do intakes hote hain (SOURCE). Ek cycle miss ka matlab 6 mahine. Scarcity nahi, simple planning: aaj eligibility check, kal decision, is intake mein admission.
Guidance is based on your qualification and each university's current program eligibility. Fees are shown exactly as published by the university.
Check My Eligibility — link in bio. · DM/WhatsApp “ELIGIBLE” · 98 33 07 44 76</t>
  </si>
  <si>
    <t xml:space="preserve">Vertical: calendar flipping with two gold-marked intake months; Indian student; navy.</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</si>
  <si>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calendar flipping with two gold-marked intake months; Indian student; navy.</t>
  </si>
  <si>
    <t xml:space="preserve">[LEAD] [RETARGETING]</t>
  </si>
  <si>
    <t xml:space="preserve">Student journey</t>
  </si>
  <si>
    <t xml:space="preserve">Enquiry से LMS login तक — एक student का journey (steps).</t>
  </si>
  <si>
    <t xml:space="preserve">Anonymised process journey (no fake testimonial): the 8 steps with what the student did and what we did.</t>
  </si>
  <si>
    <t xml:space="preserve">Enquiry से LMS login तक — एक student का journey (steps).
Day 0 enquiry → same day counselling → documents pre-check → portal registration → fee/EMI → university verification (2–7 working days) → admission letter → LMS aur ABC ID (SOURCE). Har step par kaun kya karta hai, yeh clear ho toh dar nahi lagta.
Guidance is based on your qualification and each university's current program eligibility. Fees are shown exactly as published by the university.
Start your journey — message START. · DM/WhatsApp “START” · 98 33 07 44 76</t>
  </si>
  <si>
    <t xml:space="preserve">Start your journey — message START.</t>
  </si>
  <si>
    <t xml:space="preserve">START</t>
  </si>
  <si>
    <t xml:space="preserve">Eight-step journey path with gold nodes on white, Indian student silhouette at the end; navy header.</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</si>
  <si>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Eight-step journey path with gold nodes on white, Indian student silhouette at the end; navy header.</t>
  </si>
  <si>
    <t xml:space="preserve">[WHATSAPP] [APPLICATION]</t>
  </si>
  <si>
    <t xml:space="preserve">Get current fee details</t>
  </si>
  <si>
    <t xml:space="preserve">Lead / WhatsApp</t>
  </si>
  <si>
    <t xml:space="preserve">Current fee details चाहिए? University + course बताओ.</t>
  </si>
  <si>
    <t xml:space="preserve">WhatsApp-first lead post: send university + course → get written fee breakup and plans.</t>
  </si>
  <si>
    <t xml:space="preserve">Current fee details चाहिए? University + course बताओ.
Fees change hoti rehti hain — isliye hum current, likhit fee breakup dete hain: registration, exam, tuition, plans, EMI. University aur course WhatsApp karo.
Guidance is based on your qualification and each university's current program eligibility. Fees are shown exactly as published by the university.
WhatsApp for Guidance: 98 33 07 44 76. · DM/WhatsApp “FEES” · 98 33 07 44 76</t>
  </si>
  <si>
    <t xml:space="preserve">WhatsApp for Guidance: 98 33 07 44 76.</t>
  </si>
  <si>
    <t xml:space="preserve">Phone with a WhatsApp-style fee message (abstract, no logo), Indian student's hand; navy-gold.</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</si>
  <si>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4:5 Instagram portrait composition, consistent navy-gold-white branding, no fake logos, no unnecessary text, no watermark. Scene: Phone with a WhatsApp-style fee message (abstract, no logo), Indian student's hand; navy-gold.</t>
  </si>
  <si>
    <t xml:space="preserve">Reel + Story set</t>
  </si>
  <si>
    <t xml:space="preserve">90-day recap · Speak with an advisor</t>
  </si>
  <si>
    <t xml:space="preserve">90 दिन, 90 posts — अब आपकी बारी.</t>
  </si>
  <si>
    <t xml:space="preserve">Recap reel of the most-saved content + story CTA set (call, WhatsApp, eligibility). Internal: publish the 90-day performance review the same day.</t>
  </si>
  <si>
    <t xml:space="preserve">90 दिन, 90 posts — अब आपकी बारी.
Course, university, fees, eligibility, documents — 90 din mein humne sab kuch bina bikri ke samjhaya. Ab ek step aapka: advisor se baat karo. Sach, fees likhit mein, aur support degree tak.
Guidance is based on your qualification and each university's current program eligibility. Fees are shown exactly as published by the university.
Speak with an Education Advisor — call 98 33 07 44 76. · DM/WhatsApp “CALL” · 98 33 07 44 76</t>
  </si>
  <si>
    <t xml:space="preserve">Speak with an Education Advisor — call 98 33 07 44 76.</t>
  </si>
  <si>
    <t xml:space="preserve">Vertical montage of best carousel covers on navy, seal at end, gold headline.</t>
  </si>
  <si>
    <t xml:space="preserve">Premium Indian education technology advertising creative, sophisticated deep navy and gold brand palette, white negative space, elegant academic visual language, realistic Indian student or working professional, premium corporate photography, cinematic soft lighting, clean composition, modern editorial advertising style, high trust, aspirational but realistic, minimal clutter, luxury education brand aesthetic, sharp subject, professional typography area, 9:16 vertical Reel composition, consistent navy-gold-white branding, no fake logos, no unnecessary text, no watermark. Scene: Vertical montage of best carousel covers on navy, seal at end, gold headline.</t>
  </si>
  <si>
    <t xml:space="preserve">[CALL] [WHATSAPP] [LEAD]</t>
  </si>
  <si>
    <t xml:space="preserve">CTA stories: Call / WhatsApp / Eligibility link + 'Which post helped you most?' poll</t>
  </si>
  <si>
    <t xml:space="preserve">Tier</t>
  </si>
  <si>
    <t xml:space="preserve">Reason (student-fit criteria only)</t>
  </si>
  <si>
    <t xml:space="preserve">Lead with</t>
  </si>
  <si>
    <t xml:space="preserve">A</t>
  </si>
  <si>
    <t xml:space="preserve">NMIMS (Deemed-to-be University)</t>
  </si>
  <si>
    <t xml:space="preserve">Deemed brand (Mumbai), NAAC/AACSB profile, MBA/BBA/B.Com; local trust in primary geography</t>
  </si>
  <si>
    <t xml:space="preserve">MBA, BBA, B.Com, MBA (WX)</t>
  </si>
  <si>
    <t xml:space="preserve">Manipal University Jaipur</t>
  </si>
  <si>
    <t xml:space="preserve">Strong national online brand; MBA, MCA, BBA, BCA, B.Com, MA, M.Sc; no-cost EMI plans</t>
  </si>
  <si>
    <t xml:space="preserve">MBA, MCA, BCA, BBA</t>
  </si>
  <si>
    <t xml:space="preserve">Amity University Online</t>
  </si>
  <si>
    <t xml:space="preserve">Widest catalogue (37 rows), UG+PG+integrated; loan/discount plans; strong recall</t>
  </si>
  <si>
    <t xml:space="preserve">MBA, BBA, BCA, MCA, BA</t>
  </si>
  <si>
    <t xml:space="preserve">Lovely Professional University</t>
  </si>
  <si>
    <t xml:space="preserve">Broad UG/PG/diploma range, student-grant pricing, no-cost EMI</t>
  </si>
  <si>
    <t xml:space="preserve">MBA, MCA, BBA, BCA, BA</t>
  </si>
  <si>
    <t xml:space="preserve">Chandigarh University</t>
  </si>
  <si>
    <t xml:space="preserve">15 programs incl. analytics/AI variants; early-bird pricing; strong UG demand</t>
  </si>
  <si>
    <t xml:space="preserve">BBA, BCA, MBA, MCA</t>
  </si>
  <si>
    <t xml:space="preserve">D. Y. Patil University, Navi Mumbai</t>
  </si>
  <si>
    <t xml:space="preserve">Maharashtra-local; BBA/MBA/BCA/MCA with 'Plus' variants; loan partners</t>
  </si>
  <si>
    <t xml:space="preserve">MBA, BBA, BCA, MCA (Mumbai/Navi Mumbai/Thane)</t>
  </si>
  <si>
    <t xml:space="preserve">Dr. D. Y. Patil Vidyapeeth, Pune</t>
  </si>
  <si>
    <t xml:space="preserve">Maharashtra-local; MBA incl. working-professional track; scholarships on full payment</t>
  </si>
  <si>
    <t xml:space="preserve">MBA, MCA, BBA (Pune/Nashik/Sambhajinagar)</t>
  </si>
  <si>
    <t xml:space="preserve">Sikkim Manipal University</t>
  </si>
  <si>
    <t xml:space="preserve">Manipal-group value option; MBA ₹1.2L, MCA, BBA, BA, B.Com, MA; no-cost EMI</t>
  </si>
  <si>
    <t xml:space="preserve">MBA (value), MCA, BBA</t>
  </si>
  <si>
    <t xml:space="preserve">B</t>
  </si>
  <si>
    <t xml:space="preserve">University of Petroleum and Energy Studies (UPES)</t>
  </si>
  <si>
    <t xml:space="preserve">39 sector MBAs and PG certificates (energy, logistics, infra) — niche, higher fee</t>
  </si>
  <si>
    <t xml:space="preserve">MBA (sector), MCA, PG certificates</t>
  </si>
  <si>
    <t xml:space="preserve">Amrita Vishwa Vidyapeetham</t>
  </si>
  <si>
    <t xml:space="preserve">20 programs incl. ACCA/AI variants; strong academic brand; loan on full fee only</t>
  </si>
  <si>
    <t xml:space="preserve">MBA, BCA, BBA, MCA</t>
  </si>
  <si>
    <t xml:space="preserve">Vellore Institute of Technology (VIT)</t>
  </si>
  <si>
    <t xml:space="preserve">Tech brand; MBA/MCA/M.Sc DS with EMI structure</t>
  </si>
  <si>
    <t xml:space="preserve">MCA, M.Sc Data Science, MBA</t>
  </si>
  <si>
    <t xml:space="preserve">Bennett University</t>
  </si>
  <si>
    <t xml:space="preserve">Times Group brand; MBA/BBA with EMI</t>
  </si>
  <si>
    <t xml:space="preserve">MBA, BBA (NCR)</t>
  </si>
  <si>
    <t xml:space="preserve">CHRIST (Deemed to be University)</t>
  </si>
  <si>
    <t xml:space="preserve">Bengaluru deemed brand; B.Com/BCA/MCA/MA/M.Sc; higher fees</t>
  </si>
  <si>
    <t xml:space="preserve">MCA, M.Sc, B.Com (South India)</t>
  </si>
  <si>
    <t xml:space="preserve">Galgotias University</t>
  </si>
  <si>
    <t xml:space="preserve">Value MBA/MCA (₹80–85k all-inclusive per source)</t>
  </si>
  <si>
    <t xml:space="preserve">MBA (value), MCA, BBA, BCA</t>
  </si>
  <si>
    <t xml:space="preserve">Alliance University</t>
  </si>
  <si>
    <t xml:space="preserve">MBA/BBA/B.Com with on-time and category scholarships</t>
  </si>
  <si>
    <t xml:space="preserve">MBA, BBA (Bengaluru)</t>
  </si>
  <si>
    <t xml:space="preserve">Vivekananda Global University</t>
  </si>
  <si>
    <t xml:space="preserve">Value UG/PG with scholarship pricing</t>
  </si>
  <si>
    <t xml:space="preserve">BBA, BCA, MBA, MCA (value)</t>
  </si>
  <si>
    <t xml:space="preserve">GLA University</t>
  </si>
  <si>
    <t xml:space="preserve">Value UG/PG; low registration/alumni model</t>
  </si>
  <si>
    <t xml:space="preserve">Parul University</t>
  </si>
  <si>
    <t xml:space="preserve">20 MBA specializations, low UG fees; loan status conflict in source — clarify</t>
  </si>
  <si>
    <t xml:space="preserve">MBA (specializations), BBA, BCA, BA</t>
  </si>
  <si>
    <t xml:space="preserve">Uttaranchal University</t>
  </si>
  <si>
    <t xml:space="preserve">Scholarship pricing, MBA specializations, MBA Executive</t>
  </si>
  <si>
    <t xml:space="preserve">MBA, BBA, BCA, MCA</t>
  </si>
  <si>
    <t xml:space="preserve">C</t>
  </si>
  <si>
    <t xml:space="preserve">Kurukshetra University</t>
  </si>
  <si>
    <t xml:space="preserve">State university, low fees, no loan; diplomas/certificates</t>
  </si>
  <si>
    <t xml:space="preserve">BA, B.Com, MBA (govt-university seekers)</t>
  </si>
  <si>
    <t xml:space="preserve">Andhra University</t>
  </si>
  <si>
    <t xml:space="preserve">State university, lowest MBA/MCA fees, no loan</t>
  </si>
  <si>
    <t xml:space="preserve">MBA, MCA, MA (value)</t>
  </si>
  <si>
    <t xml:space="preserve">Mangalayatan University</t>
  </si>
  <si>
    <t xml:space="preserve">Only DISTANCE (ODL) option + lowest fees; jurisdiction rules to check</t>
  </si>
  <si>
    <t xml:space="preserve">Distance BA/B.Com/MBA, diplomas</t>
  </si>
  <si>
    <t xml:space="preserve">Assam down town University</t>
  </si>
  <si>
    <t xml:space="preserve">Fee sheet corrupted in source — verify before marketing</t>
  </si>
  <si>
    <t xml:space="preserve">BBA, MBA, BCA, MCA (after verification)</t>
  </si>
  <si>
    <t xml:space="preserve">Shoolini University</t>
  </si>
  <si>
    <t xml:space="preserve">Eligibility present but fees not verified in source</t>
  </si>
  <si>
    <t xml:space="preserve">MBA, MCA (after fee verification)</t>
  </si>
  <si>
    <t xml:space="preserve">Golden Gate University, San Francisco (DBA via upGrad)</t>
  </si>
  <si>
    <t xml:space="preserve">DBA via upGrad — executive/doctoral niche</t>
  </si>
  <si>
    <t xml:space="preserve">DBA (executives 30–45)</t>
  </si>
  <si>
    <t xml:space="preserve">O.P. Jindal Global University (via upGrad)</t>
  </si>
  <si>
    <t xml:space="preserve">Executive programs via upGrad — no fee data</t>
  </si>
  <si>
    <t xml:space="preserve">Executive (after data)</t>
  </si>
  <si>
    <t xml:space="preserve">Exclude</t>
  </si>
  <si>
    <t xml:space="preserve">Sharda University</t>
  </si>
  <si>
    <t xml:space="preserve">Partner ON HOLD in source — do not market</t>
  </si>
  <si>
    <t xml:space="preserve">SRM University</t>
  </si>
  <si>
    <t xml:space="preserve">Not available in source — do not market</t>
  </si>
  <si>
    <t xml:space="preserve">Payout/commission data was not used for tiering and must never appear in student-facing content.</t>
  </si>
  <si>
    <t xml:space="preserve">Budget scenarios (monthly, INR) — blue/yellow cells are ASSUMPTIONS: overwrite with your actual numbers</t>
  </si>
  <si>
    <t xml:space="preserve">Scenario</t>
  </si>
  <si>
    <t xml:space="preserve">Monthly budget (INR)</t>
  </si>
  <si>
    <t xml:space="preserve">Days 1–7 total (÷30×7)</t>
  </si>
  <si>
    <t xml:space="preserve">Lead gen</t>
  </si>
  <si>
    <t xml:space="preserve">Retargeting</t>
  </si>
  <si>
    <t xml:space="preserve">Check</t>
  </si>
  <si>
    <t xml:space="preserve">LOW</t>
  </si>
  <si>
    <t xml:space="preserve">MEDIUM</t>
  </si>
  <si>
    <t xml:space="preserve">HIGH</t>
  </si>
  <si>
    <t xml:space="preserve">Steady-state split (Days 15–30) used above — edit the percentages below; each phase row must total 100%</t>
  </si>
  <si>
    <t xml:space="preserve">Total</t>
  </si>
  <si>
    <t xml:space="preserve">Days 1–7 (test)</t>
  </si>
  <si>
    <t xml:space="preserve">Days 8–14</t>
  </si>
  <si>
    <t xml:space="preserve">Days 15–30</t>
  </si>
  <si>
    <t xml:space="preserve">Days 31–60</t>
  </si>
  <si>
    <t xml:space="preserve">Days 61–90 (scale)</t>
  </si>
  <si>
    <t xml:space="preserve">Rules: after Day 7 move budget to the course with the lowest cost per QUALIFIED lead; after Day 14 to the best lead→counselling rate; after Day 30 to the best cost per application. Never scale a course whose qualified-lead rate is below 40%.</t>
  </si>
  <si>
    <t xml:space="preserve">Weekly KPI tracker per course — enter blue cells from Meta Ads Manager + CRM; formulas compute costs and rates</t>
  </si>
  <si>
    <t xml:space="preserve">Week</t>
  </si>
  <si>
    <t xml:space="preserve">Spend (INR)</t>
  </si>
  <si>
    <t xml:space="preserve">Qualified leads</t>
  </si>
  <si>
    <t xml:space="preserve">Counselled</t>
  </si>
  <si>
    <t xml:space="preserve">Applications</t>
  </si>
  <si>
    <t xml:space="preserve">Admissions</t>
  </si>
  <si>
    <t xml:space="preserve">CPL</t>
  </si>
  <si>
    <t xml:space="preserve">Qualified rate</t>
  </si>
  <si>
    <t xml:space="preserve">Counselled rate</t>
  </si>
  <si>
    <t xml:space="preserve">Application rate</t>
  </si>
  <si>
    <t xml:space="preserve">Cost per admission</t>
  </si>
  <si>
    <t xml:space="preserve">Qualified lead = correct qualification for the course + valid, reachable phone (24h) + served geography + intake-relevant. Mark in CRM stage QUALIFIED.</t>
  </si>
  <si>
    <t xml:space="preserve">Set</t>
  </si>
  <si>
    <t xml:space="preserve">#</t>
  </si>
  <si>
    <t xml:space="preserve">Hook / CTA / Headline</t>
  </si>
  <si>
    <t xml:space="preserve">20 MBA hooks</t>
  </si>
  <si>
    <t xml:space="preserve">Graduate हो, job है — अब MBA, बिना entrance exam.</t>
  </si>
  <si>
    <t xml:space="preserve">Online MBA ₹62,000 से — university के हिसाब से.</t>
  </si>
  <si>
    <t xml:space="preserve">MBA करना है पर resign नहीं कर सकते?</t>
  </si>
  <si>
    <t xml:space="preserve">Finance, Marketing, HR, Analytics — आपका specialization?</t>
  </si>
  <si>
    <t xml:space="preserve">20+ universities का Online MBA — एक page पर compare.</t>
  </si>
  <si>
    <t xml:space="preserve">Online MBA vs Distance MBA — असली फर्क.</t>
  </si>
  <si>
    <t xml:space="preserve">Recorded classes, online exams — यही है Online MBA.</t>
  </si>
  <si>
    <t xml:space="preserve">Weekend में MBA, weekdays में job.</t>
  </si>
  <si>
    <t xml:space="preserve">MBA fees में क्या included है? (और क्या नहीं)</t>
  </si>
  <si>
    <t xml:space="preserve">Dual specialization MBA — किन universities में?</t>
  </si>
  <si>
    <t xml:space="preserve">Non-commerce graduate हो? MBA फिर भी possible.</t>
  </si>
  <si>
    <t xml:space="preserve">MBA के 2 साल — realistic weekly schedule.</t>
  </si>
  <si>
    <t xml:space="preserve">No-cost EMI वाले MBA programs.</t>
  </si>
  <si>
    <t xml:space="preserve">CV पर MBA — 24 महीने में.</t>
  </si>
  <si>
    <t xml:space="preserve">Confused between two universities? Compare, then decide.</t>
  </si>
  <si>
    <t xml:space="preserve">20 Graduation hooks</t>
  </si>
  <si>
    <t xml:space="preserve">12th के बाद job कर ली, degree रह गई?</t>
  </si>
  <si>
    <t xml:space="preserve">Gap 5 साल का है? Eligibility check करो.</t>
  </si>
  <si>
    <t xml:space="preserve">Job के साथ BA/B.Com — 3 साल, घर से.</t>
  </si>
  <si>
    <t xml:space="preserve">Promotion के लिए degree चाहिए? यहाँ से शुरू करो.</t>
  </si>
  <si>
    <t xml:space="preserve">Government exam की eligibility — graduation पहले.</t>
  </si>
  <si>
    <t xml:space="preserve">Graduation Completion Guide — free.</t>
  </si>
  <si>
    <t xml:space="preserve">'Baad mein karenge' — सबसे महंगी decision.</t>
  </si>
  <si>
    <t xml:space="preserve">Family को time भी दो, degree भी लो.</t>
  </si>
  <si>
    <t xml:space="preserve">Distance BA ₹34,000 में — कैसे?</t>
  </si>
  <si>
    <t xml:space="preserve">MBA करना है? पहले graduation complete.</t>
  </si>
  <si>
    <t xml:space="preserve">Shop चलाते हो? Graduation online complete करो.</t>
  </si>
  <si>
    <t xml:space="preserve">Night shift में हो? Recorded lectures आपके time पर.</t>
  </si>
  <si>
    <t xml:space="preserve">Degree नहीं, तो offers भी नहीं — बदलो इसे.</t>
  </si>
  <si>
    <t xml:space="preserve">आपकी marksheet का इंतज़ार खत्म.</t>
  </si>
  <si>
    <t xml:space="preserve">15 BBA hooks</t>
  </si>
  <si>
    <t xml:space="preserve">Online BBA fees: ₹64,000 से ₹1.5 लाख — फर्क क्या है?</t>
  </si>
  <si>
    <t xml:space="preserve">BBA vs BCA — कौन सा आपके लिए?</t>
  </si>
  <si>
    <t xml:space="preserve">Family business + BBA = दोनों साथ.</t>
  </si>
  <si>
    <t xml:space="preserve">BBA के बाद MBA — पूरा roadmap.</t>
  </si>
  <si>
    <t xml:space="preserve">किसी भी stream से BBA — यहाँ eligibility.</t>
  </si>
  <si>
    <t xml:space="preserve">Online BBA में specializations भी होते हैं.</t>
  </si>
  <si>
    <t xml:space="preserve">12th pass हो? आज eligibility check करो.</t>
  </si>
  <si>
    <t xml:space="preserve">BBA in 3 years, exams online.</t>
  </si>
  <si>
    <t xml:space="preserve">Parents के लिए: Online BBA कितना safe है?</t>
  </si>
  <si>
    <t xml:space="preserve">BBA के 6 semesters — क्या पढ़ोगे?</t>
  </si>
  <si>
    <t xml:space="preserve">No entrance exam BBA — most universities.</t>
  </si>
  <si>
    <t xml:space="preserve">BBA with Digital Marketing / Analytics — कहाँ?</t>
  </si>
  <si>
    <t xml:space="preserve">15 BCA hooks</t>
  </si>
  <si>
    <t xml:space="preserve">Coding सीखनी है और degree भी? BCA.</t>
  </si>
  <si>
    <t xml:space="preserve">BCA के लिए Maths ज़रूरी है? (यहाँ जवाब)</t>
  </si>
  <si>
    <t xml:space="preserve">BCA के बाद MCA — tech roadmap.</t>
  </si>
  <si>
    <t xml:space="preserve">Arts/Commerce से BCA हो सकता है?</t>
  </si>
  <si>
    <t xml:space="preserve">BCA में AI &amp; Data Science specialization — कहाँ?</t>
  </si>
  <si>
    <t xml:space="preserve">Cyber Security में career — BCA से शुरू.</t>
  </si>
  <si>
    <t xml:space="preserve">BCA vs B.Sc CS — फर्क समझो.</t>
  </si>
  <si>
    <t xml:space="preserve">BCA 3 साल, exams online, projects real.</t>
  </si>
  <si>
    <t xml:space="preserve">12th में Maths था? BCA आपके लिए है.</t>
  </si>
  <si>
    <t xml:space="preserve">Cloud Computing सीखो degree के साथ.</t>
  </si>
  <si>
    <t xml:space="preserve">BCA fees compare — 20+ universities.</t>
  </si>
  <si>
    <t xml:space="preserve">Full-stack developer बनना है? पहले BCA.</t>
  </si>
  <si>
    <t xml:space="preserve">15 MCA hooks</t>
  </si>
  <si>
    <t xml:space="preserve">Graduate से tech professional — Online MCA.</t>
  </si>
  <si>
    <t xml:space="preserve">Career switch to IT — MCA eligibility 2 minute में.</t>
  </si>
  <si>
    <t xml:space="preserve">Online MCA: AI/ML, Data Science, Cyber — कहाँ क्या?</t>
  </si>
  <si>
    <t xml:space="preserve">MCA के लिए Maths — 10+2 या graduation में.</t>
  </si>
  <si>
    <t xml:space="preserve">BCA किया? MCA अगला step.</t>
  </si>
  <si>
    <t xml:space="preserve">Job के साथ MCA — 2 साल.</t>
  </si>
  <si>
    <t xml:space="preserve">B.Com graduate, IT में जाना है? MCA path.</t>
  </si>
  <si>
    <t xml:space="preserve">MCA fees ₹76,000 से — verify करके.</t>
  </si>
  <si>
    <t xml:space="preserve">Bridge course क्या है? MCA वालों के लिए.</t>
  </si>
  <si>
    <t xml:space="preserve">AI &amp; ML specialization वाला MCA.</t>
  </si>
  <si>
    <t xml:space="preserve">Cyber Security &amp; Forensics MCA — किन universities में?</t>
  </si>
  <si>
    <t xml:space="preserve">MCA या PG certificate — किसके लिए क्या?</t>
  </si>
  <si>
    <t xml:space="preserve">Tech upgrade without quitting your job.</t>
  </si>
  <si>
    <t xml:space="preserve">10 BA hooks</t>
  </si>
  <si>
    <t xml:space="preserve">Online BA — किसी भी stream से, घर से.</t>
  </si>
  <si>
    <t xml:space="preserve">BA in English, Economics, Political Science — online.</t>
  </si>
  <si>
    <t xml:space="preserve">UPSC की तैयारी + BA साथ में.</t>
  </si>
  <si>
    <t xml:space="preserve">Distance BA ₹34,000 में — eligibility?</t>
  </si>
  <si>
    <t xml:space="preserve">BA के बाद MA/MBA — रास्ता खुला.</t>
  </si>
  <si>
    <t xml:space="preserve">Teaching में जाना है? BA से शुरू.</t>
  </si>
  <si>
    <t xml:space="preserve">BA JMC — media career online.</t>
  </si>
  <si>
    <t xml:space="preserve">12th pass से graduate — BA online.</t>
  </si>
  <si>
    <t xml:space="preserve">BA 3 साल, max 6 — अपनी speed से.</t>
  </si>
  <si>
    <t xml:space="preserve">Housewife हो? BA online complete करो.</t>
  </si>
  <si>
    <t xml:space="preserve">10 B.Com hooks</t>
  </si>
  <si>
    <t xml:space="preserve">Online B.Com — accounts, finance, banking careers.</t>
  </si>
  <si>
    <t xml:space="preserve">B.Com (Hons) online — किन universities में?</t>
  </si>
  <si>
    <t xml:space="preserve">Job के साथ B.Com — CA/CS की eligibility भी.</t>
  </si>
  <si>
    <t xml:space="preserve">B.Com with ACCA — कहाँ available?</t>
  </si>
  <si>
    <t xml:space="preserve">Distance B.Com ₹34,000 से.</t>
  </si>
  <si>
    <t xml:space="preserve">B.Com के बाद M.Com/MBA.</t>
  </si>
  <si>
    <t xml:space="preserve">Bank job के लिए graduation — B.Com online.</t>
  </si>
  <si>
    <t xml:space="preserve">Accounting पढ़ो, degree लो, job रखो.</t>
  </si>
  <si>
    <t xml:space="preserve">B.Com specializations: Fintech, Analytics, Taxation.</t>
  </si>
  <si>
    <t xml:space="preserve">12th commerce के बाद online B.Com.</t>
  </si>
  <si>
    <t xml:space="preserve">10 General education hooks</t>
  </si>
  <si>
    <t xml:space="preserve">Online और Distance में actual difference क्या है?</t>
  </si>
  <si>
    <t xml:space="preserve">Fees में क्या-क्या included है?</t>
  </si>
  <si>
    <t xml:space="preserve">Kitna time milta hai degree complete करने के लिए? (UGC rule)</t>
  </si>
  <si>
    <t xml:space="preserve">Counsellor से पहली call में क्या पूछें?</t>
  </si>
  <si>
    <t xml:space="preserve">Enquiry से admission तक — 8 steps.</t>
  </si>
  <si>
    <t xml:space="preserve">Ek platform, 26+ universities, zero confusion.</t>
  </si>
  <si>
    <t xml:space="preserve">20 CTA variations</t>
  </si>
  <si>
    <t xml:space="preserve">Get Free Course Guidance</t>
  </si>
  <si>
    <t xml:space="preserve">Explore Courses</t>
  </si>
  <si>
    <t xml:space="preserve">Talk to an Education Expert</t>
  </si>
  <si>
    <t xml:space="preserve">Speak with an Education Advisor</t>
  </si>
  <si>
    <t xml:space="preserve">Call an Education Expert</t>
  </si>
  <si>
    <t xml:space="preserve">WhatsApp for Guidance</t>
  </si>
  <si>
    <t xml:space="preserve">Get a Call Back</t>
  </si>
  <si>
    <t xml:space="preserve">Save this post</t>
  </si>
  <si>
    <t xml:space="preserve">Share with a student</t>
  </si>
  <si>
    <t xml:space="preserve">Comment MBA</t>
  </si>
  <si>
    <t xml:space="preserve">20 Reel hooks</t>
  </si>
  <si>
    <t xml:space="preserve">3 reasons your graduation may be holding back your career.</t>
  </si>
  <si>
    <t xml:space="preserve">Online MBA लेने से पहले ये 5 चीजें check करें.</t>
  </si>
  <si>
    <t xml:space="preserve">Ek enquiry ke baad actually kya hota hai?</t>
  </si>
  <si>
    <t xml:space="preserve">Documents की ये 4 galtiyan.</t>
  </si>
  <si>
    <t xml:space="preserve">Non-IT graduate होकर tech में आना है?</t>
  </si>
  <si>
    <t xml:space="preserve">आपका अगला promotion एक degree दूर.</t>
  </si>
  <si>
    <t xml:space="preserve">20 Carousel headline ideas</t>
  </si>
  <si>
    <t xml:space="preserve">5 Things to Check Before Taking an Online Degree</t>
  </si>
  <si>
    <t xml:space="preserve">Online MBA vs Distance MBA</t>
  </si>
  <si>
    <t xml:space="preserve">BBA vs BCA</t>
  </si>
  <si>
    <t xml:space="preserve">Graduation Complete करने के 5 फायदे</t>
  </si>
  <si>
    <t xml:space="preserve">University Compare करने का सही तरीका</t>
  </si>
  <si>
    <t xml:space="preserve">Online BBA after 12th — पूरा picture</t>
  </si>
  <si>
    <t xml:space="preserve">Online BCA: eligibility, specializations, career</t>
  </si>
  <si>
    <t xml:space="preserve">Online MCA — graduate से tech professional</t>
  </si>
  <si>
    <t xml:space="preserve">Myth vs Fact: Online degree की value</t>
  </si>
  <si>
    <t xml:space="preserve">Admission के लिए कौन से documents चाहिए?</t>
  </si>
  <si>
    <t xml:space="preserve">Online MBA के लिए 6 तरह की university options</t>
  </si>
  <si>
    <t xml:space="preserve">Kitna time milta hai degree complete karne ke liye?</t>
  </si>
  <si>
    <t xml:space="preserve">University Selection Checklist (10 points)</t>
  </si>
  <si>
    <t xml:space="preserve">MBA Specialization Guide</t>
  </si>
  <si>
    <t xml:space="preserve">BCA vs BBA Guide</t>
  </si>
  <si>
    <t xml:space="preserve">Graduation Completion Guide</t>
  </si>
  <si>
    <t xml:space="preserve">Fee comparison: BBA by university</t>
  </si>
  <si>
    <t xml:space="preserve">Enquiry से LMS login तक — student journey</t>
  </si>
  <si>
    <t xml:space="preserve">20 WhatsApp CTA ideas</t>
  </si>
  <si>
    <t xml:space="preserve">Message MBA</t>
  </si>
  <si>
    <t xml:space="preserve">Message GRADUATION</t>
  </si>
  <si>
    <t xml:space="preserve">Message BCA</t>
  </si>
  <si>
    <t xml:space="preserve">Message BBA</t>
  </si>
  <si>
    <t xml:space="preserve">Message MCA</t>
  </si>
  <si>
    <t xml:space="preserve">Message FEES with your university + course</t>
  </si>
  <si>
    <t xml:space="preserve">Message ELIGIBLE with your 12th %</t>
  </si>
  <si>
    <t xml:space="preserve">Message MODE for Online vs Distance guide</t>
  </si>
  <si>
    <t xml:space="preserve">Message COMPARE</t>
  </si>
  <si>
    <t xml:space="preserve">Message DOCS for the checklist</t>
  </si>
  <si>
    <t xml:space="preserve">Message EMI with your course</t>
  </si>
  <si>
    <t xml:space="preserve">Message SPECIALIZATION</t>
  </si>
  <si>
    <t xml:space="preserve">Message CHECKLIST</t>
  </si>
  <si>
    <t xml:space="preserve">Message UPGRADE with your years of experience</t>
  </si>
  <si>
    <t xml:space="preserve">Message START</t>
  </si>
  <si>
    <t xml:space="preserve">Message CALL for a call back</t>
  </si>
  <si>
    <t xml:space="preserve">Message VERIFY with the university name</t>
  </si>
  <si>
    <t xml:space="preserve">Message 12TH</t>
  </si>
  <si>
    <t xml:space="preserve">Message EXEC</t>
  </si>
  <si>
    <t xml:space="preserve">Message ASK</t>
  </si>
  <si>
    <t xml:space="preserve">Welcome poll (what do you want to do?), Online/Distance this-or-that, question sticker 'biggest confusion'</t>
  </si>
  <si>
    <t xml:space="preserve">Quiz: BCA after which qualification?, MBA specialization poll, 'DM MBA' CTA</t>
  </si>
  <si>
    <t xml:space="preserve">Poll: brand vs fee vs nearest, fee-breakup repost, 'Check eligibility' link sticker</t>
  </si>
  <si>
    <t xml:space="preserve">Course-finder quiz (5 questions), counsellor Q&amp;A replies, documents checklist swipe</t>
  </si>
  <si>
    <t xml:space="preserve">University comparison poll, EMI question box, 'Message FEES' CTA</t>
  </si>
  <si>
    <t xml:space="preserve">Myth/fact quiz, admission-steps timeline, 'Call an expert' sticker</t>
  </si>
  <si>
    <t xml:space="preserve">Lead-magnet stories (Course Finder, Eligibility, MBA comparison), reply prompts</t>
  </si>
  <si>
    <t xml:space="preserve">Graduation guide, BCA vs BBA quiz, 'Message GRADUATION'</t>
  </si>
  <si>
    <t xml:space="preserve">Best reels reshared, FAQ answers, eligibility link</t>
  </si>
  <si>
    <t xml:space="preserve">Paid story ad (Day 79) + organic FAQ, 'Which course?' poll</t>
  </si>
  <si>
    <t xml:space="preserve">Retargeting-style soft stories (still deciding?), compare tool demo</t>
  </si>
  <si>
    <t xml:space="preserve">Application-help stories (documents upload demo), counsellor intro, call/WhatsApp CTA</t>
  </si>
  <si>
    <t xml:space="preserve">90-day recap, 'which post helped most?' poll, next-intake reminder</t>
  </si>
  <si>
    <t xml:space="preserve">Blue text / yellow fill = cells you edit (Status, Posted on, Notes in Calendar; scenario budgets and phase % in Budget; weekly inputs in KPI Tracker).</t>
  </si>
  <si>
    <t xml:space="preserve">Black = formulas — do not overwrite.</t>
  </si>
  <si>
    <t xml:space="preserve">Gold-tinted rows in Calendar = PERFORMANCE AD days (30). White rows = ORGANIC (60).</t>
  </si>
  <si>
    <t xml:space="preserve">Facts tagged SOURCE come from your July-2026 fee sheets / admission master and must be re-verified before quoting in an ad.</t>
  </si>
  <si>
    <t xml:space="preserve">Never add commission/payout/margin figures to any sheet that is shared with designers, agencies or students.</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</si>
</sst>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0B1F3A"/>
      <name val="Arial"/>
      <family val="0"/>
      <charset val="1"/>
    </font>
    <font>
      <sz val="10"/>
      <name val="Arial"/>
      <family val="0"/>
      <charset val="1"/>
    </font>
    <font>
      <b val="true"/>
      <sz val="10"/>
      <color rgb="FF0B1F3A"/>
      <name val="Arial"/>
      <family val="0"/>
      <charset val="1"/>
    </font>
    <font>
      <b val="true"/>
      <sz val="10"/>
      <color rgb="FFFFFFFF"/>
      <name val="Arial"/>
      <family val="0"/>
      <charset val="1"/>
    </font>
    <font>
      <sz val="10"/>
      <color rgb="FF0000FF"/>
      <name val="Arial"/>
      <family val="0"/>
      <charset val="1"/>
    </font>
    <font>
      <i val="true"/>
      <sz val="9"/>
      <name val="Arial"/>
      <family val="0"/>
      <charset val="1"/>
    </font>
    <font>
      <b val="true"/>
      <sz val="12"/>
      <color rgb="FF0B1F3A"/>
      <name val="Arial"/>
      <family val="0"/>
      <charset val="1"/>
    </font>
    <font>
      <sz val="10"/>
      <name val="Arial"/>
      <family val="2"/>
    </font>
  </fonts>
  <fills count="5">
    <fill>
      <patternFill patternType="none"/>
    </fill>
    <fill>
      <patternFill patternType="gray125"/>
    </fill>
    <fill>
      <patternFill patternType="solid">
        <fgColor rgb="FF0B1F3A"/>
        <bgColor rgb="FF003300"/>
      </patternFill>
    </fill>
    <fill>
      <patternFill patternType="solid">
        <fgColor rgb="FFFFFF00"/>
        <bgColor rgb="FFFFFF00"/>
      </patternFill>
    </fill>
    <fill>
      <patternFill patternType="solid">
        <fgColor rgb="FFF6EFD6"/>
        <bgColor rgb="FFE3E6EB"/>
      </patternFill>
    </fill>
  </fills>
  <borders count="2">
    <border diagonalUp="false" diagonalDown="false">
      <left/>
      <right/>
      <top/>
      <bottom/>
      <diagonal/>
    </border>
    <border diagonalUp="false" diagonalDown="false">
      <left style="thin">
        <color rgb="FFE3E6EB"/>
      </left>
      <right style="thin">
        <color rgb="FFE3E6EB"/>
      </right>
      <top style="thin">
        <color rgb="FFE3E6EB"/>
      </top>
      <bottom style="thin">
        <color rgb="FFE3E6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B1F3A"/>
          <bgColor rgb="FF000000"/>
        </patternFill>
      </fill>
    </dxf>
    <dxf>
      <fill>
        <patternFill patternType="solid">
          <fgColor rgb="FFF6EFD6"/>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EFD6"/>
      <rgbColor rgb="FFE3E6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35.05" hidden="false" customHeight="false" outlineLevel="0" collapsed="false">
      <c r="A5" s="3" t="s">
        <v>4</v>
      </c>
      <c r="B5" s="4" t="s">
        <v>5</v>
      </c>
    </row>
    <row r="6" customFormat="false" ht="15" hidden="false" customHeight="false" outlineLevel="0" collapsed="false">
      <c r="A6" s="3" t="s">
        <v>6</v>
      </c>
      <c r="B6" s="4" t="s">
        <v>7</v>
      </c>
    </row>
    <row r="7" customFormat="false" ht="23.8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23.85" hidden="false" customHeight="false" outlineLevel="0" collapsed="false">
      <c r="A12" s="3" t="s">
        <v>18</v>
      </c>
      <c r="B12" s="4" t="s">
        <v>19</v>
      </c>
    </row>
    <row r="13" customFormat="false" ht="15" hidden="false" customHeight="false" outlineLevel="0" collapsed="false">
      <c r="A13" s="3" t="s">
        <v>20</v>
      </c>
      <c r="B13" s="4" t="s">
        <v>21</v>
      </c>
    </row>
    <row r="14" customFormat="false" ht="23.85" hidden="false" customHeight="false" outlineLevel="0" collapsed="false">
      <c r="A14" s="3" t="s">
        <v>22</v>
      </c>
      <c r="B14"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4"/>
    <col collapsed="false" customWidth="true" hidden="false" outlineLevel="0" max="4" min="4" style="0" width="16"/>
    <col collapsed="false" customWidth="true" hidden="false" outlineLevel="0" max="5" min="5" style="0" width="12"/>
    <col collapsed="false" customWidth="true" hidden="false" outlineLevel="0" max="6" min="6" style="0" width="22"/>
    <col collapsed="false" customWidth="true" hidden="false" outlineLevel="0" max="7" min="7" style="0" width="16"/>
    <col collapsed="false" customWidth="true" hidden="false" outlineLevel="0" max="8" min="8" style="0" width="8"/>
    <col collapsed="false" customWidth="true" hidden="false" outlineLevel="0" max="9" min="9" style="0" width="22"/>
    <col collapsed="false" customWidth="true" hidden="false" outlineLevel="0" max="10" min="10" style="0" width="8"/>
    <col collapsed="false" customWidth="true" hidden="false" outlineLevel="0" max="11" min="11" style="0" width="30"/>
    <col collapsed="false" customWidth="true" hidden="false" outlineLevel="0" max="12" min="12" style="0" width="40"/>
    <col collapsed="false" customWidth="true" hidden="false" outlineLevel="0" max="13" min="13" style="0" width="50"/>
    <col collapsed="false" customWidth="true" hidden="false" outlineLevel="0" max="14" min="14" style="0" width="70"/>
    <col collapsed="false" customWidth="true" hidden="false" outlineLevel="0" max="15" min="15" style="0" width="24"/>
    <col collapsed="false" customWidth="true" hidden="false" outlineLevel="0" max="16" min="16" style="0" width="12"/>
    <col collapsed="false" customWidth="true" hidden="false" outlineLevel="0" max="17" min="17" style="0" width="40"/>
    <col collapsed="false" customWidth="true" hidden="false" outlineLevel="0" max="18" min="18" style="0" width="50"/>
    <col collapsed="false" customWidth="true" hidden="false" outlineLevel="0" max="19" min="19" style="0" width="60"/>
    <col collapsed="false" customWidth="true" hidden="false" outlineLevel="0" max="21" min="20" style="0" width="26"/>
    <col collapsed="false" customWidth="true" hidden="false" outlineLevel="0" max="22" min="22" style="0" width="22"/>
    <col collapsed="false" customWidth="true" hidden="false" outlineLevel="0" max="23" min="23" style="0" width="20"/>
    <col collapsed="false" customWidth="true" hidden="false" outlineLevel="0" max="24" min="24" style="0" width="22"/>
    <col collapsed="false" customWidth="true" hidden="false" outlineLevel="0" max="25" min="25" style="0" width="14"/>
    <col collapsed="false" customWidth="true" hidden="false" outlineLevel="0" max="26" min="26" style="0" width="40"/>
    <col collapsed="false" customWidth="true" hidden="false" outlineLevel="0" max="28" min="27" style="0" width="14"/>
    <col collapsed="false" customWidth="true" hidden="false" outlineLevel="0" max="29" min="29" style="0" width="30"/>
  </cols>
  <sheetData>
    <row r="1" customFormat="false" ht="35.05" hidden="false" customHeight="false" outlineLevel="0" collapsed="false">
      <c r="A1" s="5" t="s">
        <v>24</v>
      </c>
      <c r="B1" s="5" t="s">
        <v>25</v>
      </c>
      <c r="C1" s="5" t="s">
        <v>26</v>
      </c>
      <c r="D1" s="5" t="s">
        <v>27</v>
      </c>
      <c r="E1" s="5" t="s">
        <v>28</v>
      </c>
      <c r="F1" s="5" t="s">
        <v>29</v>
      </c>
      <c r="G1" s="5" t="s">
        <v>30</v>
      </c>
      <c r="H1" s="5" t="s">
        <v>18</v>
      </c>
      <c r="I1" s="5" t="s">
        <v>6</v>
      </c>
      <c r="J1" s="5" t="s">
        <v>31</v>
      </c>
      <c r="K1" s="5" t="s">
        <v>8</v>
      </c>
      <c r="L1" s="5" t="s">
        <v>32</v>
      </c>
      <c r="M1" s="5" t="s">
        <v>33</v>
      </c>
      <c r="N1" s="5" t="s">
        <v>34</v>
      </c>
      <c r="O1" s="5" t="s">
        <v>35</v>
      </c>
      <c r="P1" s="5" t="s">
        <v>36</v>
      </c>
      <c r="Q1" s="5" t="s">
        <v>37</v>
      </c>
      <c r="R1" s="5" t="s">
        <v>38</v>
      </c>
      <c r="S1" s="5" t="s">
        <v>39</v>
      </c>
      <c r="T1" s="5" t="s">
        <v>40</v>
      </c>
      <c r="U1" s="5" t="s">
        <v>41</v>
      </c>
      <c r="V1" s="5" t="s">
        <v>42</v>
      </c>
      <c r="W1" s="5" t="s">
        <v>43</v>
      </c>
      <c r="X1" s="5" t="s">
        <v>44</v>
      </c>
      <c r="Y1" s="5" t="s">
        <v>45</v>
      </c>
      <c r="Z1" s="5" t="s">
        <v>46</v>
      </c>
      <c r="AA1" s="5" t="s">
        <v>47</v>
      </c>
      <c r="AB1" s="5" t="s">
        <v>48</v>
      </c>
      <c r="AC1" s="5" t="s">
        <v>49</v>
      </c>
    </row>
    <row r="2" customFormat="false" ht="120" hidden="false" customHeight="true" outlineLevel="0" collapsed="false">
      <c r="A2" s="6" t="n">
        <v>1</v>
      </c>
      <c r="B2" s="6" t="s">
        <v>50</v>
      </c>
      <c r="C2" s="6" t="s">
        <v>51</v>
      </c>
      <c r="D2" s="6" t="s">
        <v>52</v>
      </c>
      <c r="E2" s="6" t="s">
        <v>53</v>
      </c>
      <c r="F2" s="6" t="s">
        <v>54</v>
      </c>
      <c r="G2" s="6" t="s">
        <v>55</v>
      </c>
      <c r="H2" s="6" t="s">
        <v>56</v>
      </c>
      <c r="I2" s="6" t="s">
        <v>57</v>
      </c>
      <c r="J2" s="6" t="s">
        <v>58</v>
      </c>
      <c r="K2" s="6" t="s">
        <v>59</v>
      </c>
      <c r="L2" s="6" t="s">
        <v>60</v>
      </c>
      <c r="M2" s="6" t="s">
        <v>61</v>
      </c>
      <c r="N2" s="6" t="s">
        <v>62</v>
      </c>
      <c r="O2" s="6" t="s">
        <v>63</v>
      </c>
      <c r="P2" s="6" t="s">
        <v>64</v>
      </c>
      <c r="Q2" s="6" t="s">
        <v>65</v>
      </c>
      <c r="R2" s="6" t="s">
        <v>66</v>
      </c>
      <c r="S2" s="6" t="s">
        <v>67</v>
      </c>
      <c r="T2" s="6" t="s">
        <v>68</v>
      </c>
      <c r="U2" s="6" t="s">
        <v>69</v>
      </c>
      <c r="V2" s="6" t="s">
        <v>70</v>
      </c>
      <c r="W2" s="6" t="s">
        <v>71</v>
      </c>
      <c r="X2" s="6" t="s">
        <v>72</v>
      </c>
      <c r="Y2" s="6" t="s">
        <v>73</v>
      </c>
      <c r="Z2" s="6" t="s">
        <v>74</v>
      </c>
      <c r="AA2" s="7" t="s">
        <v>75</v>
      </c>
      <c r="AB2" s="7"/>
      <c r="AC2" s="7"/>
    </row>
    <row r="3" customFormat="false" ht="120" hidden="false" customHeight="true" outlineLevel="0" collapsed="false">
      <c r="A3" s="6" t="n">
        <v>2</v>
      </c>
      <c r="B3" s="6" t="s">
        <v>50</v>
      </c>
      <c r="C3" s="6" t="s">
        <v>51</v>
      </c>
      <c r="D3" s="6" t="s">
        <v>76</v>
      </c>
      <c r="E3" s="6" t="s">
        <v>53</v>
      </c>
      <c r="F3" s="6" t="s">
        <v>77</v>
      </c>
      <c r="G3" s="6" t="s">
        <v>78</v>
      </c>
      <c r="H3" s="6" t="s">
        <v>56</v>
      </c>
      <c r="I3" s="6" t="s">
        <v>79</v>
      </c>
      <c r="J3" s="6" t="s">
        <v>80</v>
      </c>
      <c r="K3" s="6" t="s">
        <v>59</v>
      </c>
      <c r="L3" s="6" t="s">
        <v>81</v>
      </c>
      <c r="M3" s="6" t="s">
        <v>82</v>
      </c>
      <c r="N3" s="6" t="s">
        <v>83</v>
      </c>
      <c r="O3" s="6" t="s">
        <v>84</v>
      </c>
      <c r="P3" s="6" t="s">
        <v>85</v>
      </c>
      <c r="Q3" s="6" t="s">
        <v>65</v>
      </c>
      <c r="R3" s="6" t="s">
        <v>86</v>
      </c>
      <c r="S3" s="6" t="s">
        <v>87</v>
      </c>
      <c r="T3" s="6" t="s">
        <v>68</v>
      </c>
      <c r="U3" s="6" t="s">
        <v>88</v>
      </c>
      <c r="V3" s="6" t="s">
        <v>89</v>
      </c>
      <c r="W3" s="6" t="s">
        <v>90</v>
      </c>
      <c r="X3" s="6" t="s">
        <v>72</v>
      </c>
      <c r="Y3" s="6" t="s">
        <v>73</v>
      </c>
      <c r="Z3" s="6"/>
      <c r="AA3" s="7" t="s">
        <v>75</v>
      </c>
      <c r="AB3" s="7"/>
      <c r="AC3" s="7"/>
    </row>
    <row r="4" customFormat="false" ht="120" hidden="false" customHeight="true" outlineLevel="0" collapsed="false">
      <c r="A4" s="6" t="n">
        <v>3</v>
      </c>
      <c r="B4" s="6" t="s">
        <v>50</v>
      </c>
      <c r="C4" s="6" t="s">
        <v>51</v>
      </c>
      <c r="D4" s="6" t="s">
        <v>91</v>
      </c>
      <c r="E4" s="6" t="s">
        <v>53</v>
      </c>
      <c r="F4" s="6" t="s">
        <v>92</v>
      </c>
      <c r="G4" s="6" t="s">
        <v>93</v>
      </c>
      <c r="H4" s="6" t="s">
        <v>56</v>
      </c>
      <c r="I4" s="6" t="s">
        <v>57</v>
      </c>
      <c r="J4" s="6" t="s">
        <v>58</v>
      </c>
      <c r="K4" s="6" t="s">
        <v>59</v>
      </c>
      <c r="L4" s="6" t="s">
        <v>94</v>
      </c>
      <c r="M4" s="6" t="s">
        <v>95</v>
      </c>
      <c r="N4" s="6" t="s">
        <v>96</v>
      </c>
      <c r="O4" s="6" t="s">
        <v>97</v>
      </c>
      <c r="P4" s="6" t="s">
        <v>98</v>
      </c>
      <c r="Q4" s="6" t="s">
        <v>99</v>
      </c>
      <c r="R4" s="6" t="s">
        <v>100</v>
      </c>
      <c r="S4" s="6" t="s">
        <v>101</v>
      </c>
      <c r="T4" s="6" t="s">
        <v>68</v>
      </c>
      <c r="U4" s="6" t="s">
        <v>102</v>
      </c>
      <c r="V4" s="6" t="s">
        <v>90</v>
      </c>
      <c r="W4" s="6" t="s">
        <v>103</v>
      </c>
      <c r="X4" s="6" t="s">
        <v>104</v>
      </c>
      <c r="Y4" s="6" t="s">
        <v>73</v>
      </c>
      <c r="Z4" s="6"/>
      <c r="AA4" s="7" t="s">
        <v>75</v>
      </c>
      <c r="AB4" s="7"/>
      <c r="AC4" s="7"/>
    </row>
    <row r="5" customFormat="false" ht="120" hidden="false" customHeight="true" outlineLevel="0" collapsed="false">
      <c r="A5" s="8" t="n">
        <v>4</v>
      </c>
      <c r="B5" s="8" t="s">
        <v>50</v>
      </c>
      <c r="C5" s="8" t="s">
        <v>105</v>
      </c>
      <c r="D5" s="8" t="s">
        <v>106</v>
      </c>
      <c r="E5" s="8" t="s">
        <v>107</v>
      </c>
      <c r="F5" s="8" t="s">
        <v>108</v>
      </c>
      <c r="G5" s="8" t="s">
        <v>109</v>
      </c>
      <c r="H5" s="8" t="s">
        <v>110</v>
      </c>
      <c r="I5" s="8" t="s">
        <v>111</v>
      </c>
      <c r="J5" s="8" t="s">
        <v>112</v>
      </c>
      <c r="K5" s="8" t="s">
        <v>113</v>
      </c>
      <c r="L5" s="8" t="s">
        <v>114</v>
      </c>
      <c r="M5" s="8" t="s">
        <v>115</v>
      </c>
      <c r="N5" s="8" t="s">
        <v>116</v>
      </c>
      <c r="O5" s="8" t="s">
        <v>117</v>
      </c>
      <c r="P5" s="8" t="s">
        <v>107</v>
      </c>
      <c r="Q5" s="8" t="s">
        <v>118</v>
      </c>
      <c r="R5" s="8" t="s">
        <v>119</v>
      </c>
      <c r="S5" s="8" t="s">
        <v>120</v>
      </c>
      <c r="T5" s="8" t="s">
        <v>121</v>
      </c>
      <c r="U5" s="8" t="s">
        <v>122</v>
      </c>
      <c r="V5" s="8" t="s">
        <v>123</v>
      </c>
      <c r="W5" s="8" t="s">
        <v>124</v>
      </c>
      <c r="X5" s="8" t="s">
        <v>125</v>
      </c>
      <c r="Y5" s="8" t="s">
        <v>126</v>
      </c>
      <c r="Z5" s="8"/>
      <c r="AA5" s="7" t="s">
        <v>75</v>
      </c>
      <c r="AB5" s="7"/>
      <c r="AC5" s="7"/>
    </row>
    <row r="6" customFormat="false" ht="120" hidden="false" customHeight="true" outlineLevel="0" collapsed="false">
      <c r="A6" s="8" t="n">
        <v>5</v>
      </c>
      <c r="B6" s="8" t="s">
        <v>50</v>
      </c>
      <c r="C6" s="8" t="s">
        <v>105</v>
      </c>
      <c r="D6" s="8" t="s">
        <v>127</v>
      </c>
      <c r="E6" s="8" t="s">
        <v>128</v>
      </c>
      <c r="F6" s="8" t="s">
        <v>129</v>
      </c>
      <c r="G6" s="8" t="s">
        <v>109</v>
      </c>
      <c r="H6" s="8" t="s">
        <v>110</v>
      </c>
      <c r="I6" s="8" t="s">
        <v>130</v>
      </c>
      <c r="J6" s="8" t="s">
        <v>131</v>
      </c>
      <c r="K6" s="8" t="s">
        <v>113</v>
      </c>
      <c r="L6" s="8" t="s">
        <v>132</v>
      </c>
      <c r="M6" s="8" t="s">
        <v>133</v>
      </c>
      <c r="N6" s="8" t="s">
        <v>134</v>
      </c>
      <c r="O6" s="8" t="s">
        <v>117</v>
      </c>
      <c r="P6" s="8" t="s">
        <v>128</v>
      </c>
      <c r="Q6" s="8" t="s">
        <v>135</v>
      </c>
      <c r="R6" s="8" t="s">
        <v>136</v>
      </c>
      <c r="S6" s="8" t="s">
        <v>137</v>
      </c>
      <c r="T6" s="8" t="s">
        <v>138</v>
      </c>
      <c r="U6" s="8" t="s">
        <v>139</v>
      </c>
      <c r="V6" s="8" t="s">
        <v>123</v>
      </c>
      <c r="W6" s="8" t="s">
        <v>124</v>
      </c>
      <c r="X6" s="8" t="s">
        <v>125</v>
      </c>
      <c r="Y6" s="8" t="s">
        <v>126</v>
      </c>
      <c r="Z6" s="8"/>
      <c r="AA6" s="7" t="s">
        <v>75</v>
      </c>
      <c r="AB6" s="7"/>
      <c r="AC6" s="7"/>
    </row>
    <row r="7" customFormat="false" ht="120" hidden="false" customHeight="true" outlineLevel="0" collapsed="false">
      <c r="A7" s="8" t="n">
        <v>6</v>
      </c>
      <c r="B7" s="8" t="s">
        <v>50</v>
      </c>
      <c r="C7" s="8" t="s">
        <v>105</v>
      </c>
      <c r="D7" s="8" t="s">
        <v>127</v>
      </c>
      <c r="E7" s="8" t="s">
        <v>140</v>
      </c>
      <c r="F7" s="8" t="s">
        <v>141</v>
      </c>
      <c r="G7" s="8" t="s">
        <v>109</v>
      </c>
      <c r="H7" s="8" t="s">
        <v>110</v>
      </c>
      <c r="I7" s="8" t="s">
        <v>142</v>
      </c>
      <c r="J7" s="8" t="s">
        <v>131</v>
      </c>
      <c r="K7" s="8" t="s">
        <v>113</v>
      </c>
      <c r="L7" s="8" t="s">
        <v>143</v>
      </c>
      <c r="M7" s="8" t="s">
        <v>144</v>
      </c>
      <c r="N7" s="8" t="s">
        <v>145</v>
      </c>
      <c r="O7" s="8" t="s">
        <v>117</v>
      </c>
      <c r="P7" s="8" t="s">
        <v>140</v>
      </c>
      <c r="Q7" s="8" t="s">
        <v>146</v>
      </c>
      <c r="R7" s="8" t="s">
        <v>147</v>
      </c>
      <c r="S7" s="8" t="s">
        <v>148</v>
      </c>
      <c r="T7" s="8" t="s">
        <v>149</v>
      </c>
      <c r="U7" s="8" t="s">
        <v>150</v>
      </c>
      <c r="V7" s="8" t="s">
        <v>123</v>
      </c>
      <c r="W7" s="8" t="s">
        <v>124</v>
      </c>
      <c r="X7" s="8" t="s">
        <v>125</v>
      </c>
      <c r="Y7" s="8" t="s">
        <v>126</v>
      </c>
      <c r="Z7" s="8"/>
      <c r="AA7" s="7" t="s">
        <v>75</v>
      </c>
      <c r="AB7" s="7"/>
      <c r="AC7" s="7"/>
    </row>
    <row r="8" customFormat="false" ht="120" hidden="false" customHeight="true" outlineLevel="0" collapsed="false">
      <c r="A8" s="8" t="n">
        <v>7</v>
      </c>
      <c r="B8" s="8" t="s">
        <v>50</v>
      </c>
      <c r="C8" s="8" t="s">
        <v>105</v>
      </c>
      <c r="D8" s="8" t="s">
        <v>106</v>
      </c>
      <c r="E8" s="8" t="s">
        <v>151</v>
      </c>
      <c r="F8" s="8" t="s">
        <v>152</v>
      </c>
      <c r="G8" s="8" t="s">
        <v>109</v>
      </c>
      <c r="H8" s="8" t="s">
        <v>110</v>
      </c>
      <c r="I8" s="8" t="s">
        <v>153</v>
      </c>
      <c r="J8" s="8" t="s">
        <v>154</v>
      </c>
      <c r="K8" s="8" t="s">
        <v>113</v>
      </c>
      <c r="L8" s="8" t="s">
        <v>155</v>
      </c>
      <c r="M8" s="8" t="s">
        <v>156</v>
      </c>
      <c r="N8" s="8" t="s">
        <v>157</v>
      </c>
      <c r="O8" s="8" t="s">
        <v>117</v>
      </c>
      <c r="P8" s="8" t="s">
        <v>158</v>
      </c>
      <c r="Q8" s="8" t="s">
        <v>159</v>
      </c>
      <c r="R8" s="8" t="s">
        <v>160</v>
      </c>
      <c r="S8" s="8" t="s">
        <v>161</v>
      </c>
      <c r="T8" s="8" t="s">
        <v>162</v>
      </c>
      <c r="U8" s="8" t="s">
        <v>163</v>
      </c>
      <c r="V8" s="8" t="s">
        <v>123</v>
      </c>
      <c r="W8" s="8" t="s">
        <v>164</v>
      </c>
      <c r="X8" s="8" t="s">
        <v>125</v>
      </c>
      <c r="Y8" s="8" t="s">
        <v>126</v>
      </c>
      <c r="Z8" s="8"/>
      <c r="AA8" s="7" t="s">
        <v>75</v>
      </c>
      <c r="AB8" s="7"/>
      <c r="AC8" s="7"/>
    </row>
    <row r="9" customFormat="false" ht="120" hidden="false" customHeight="true" outlineLevel="0" collapsed="false">
      <c r="A9" s="6" t="n">
        <v>8</v>
      </c>
      <c r="B9" s="6" t="s">
        <v>50</v>
      </c>
      <c r="C9" s="6" t="s">
        <v>51</v>
      </c>
      <c r="D9" s="6" t="s">
        <v>91</v>
      </c>
      <c r="E9" s="6" t="s">
        <v>53</v>
      </c>
      <c r="F9" s="6" t="s">
        <v>165</v>
      </c>
      <c r="G9" s="6" t="s">
        <v>166</v>
      </c>
      <c r="H9" s="6" t="s">
        <v>56</v>
      </c>
      <c r="I9" s="6" t="s">
        <v>57</v>
      </c>
      <c r="J9" s="6" t="s">
        <v>58</v>
      </c>
      <c r="K9" s="6" t="s">
        <v>59</v>
      </c>
      <c r="L9" s="6" t="s">
        <v>167</v>
      </c>
      <c r="M9" s="6" t="s">
        <v>168</v>
      </c>
      <c r="N9" s="6" t="s">
        <v>169</v>
      </c>
      <c r="O9" s="6" t="s">
        <v>170</v>
      </c>
      <c r="P9" s="6" t="s">
        <v>64</v>
      </c>
      <c r="Q9" s="6" t="s">
        <v>65</v>
      </c>
      <c r="R9" s="6" t="s">
        <v>171</v>
      </c>
      <c r="S9" s="6" t="s">
        <v>172</v>
      </c>
      <c r="T9" s="6" t="s">
        <v>68</v>
      </c>
      <c r="U9" s="6" t="s">
        <v>69</v>
      </c>
      <c r="V9" s="6" t="s">
        <v>70</v>
      </c>
      <c r="W9" s="6" t="s">
        <v>90</v>
      </c>
      <c r="X9" s="6" t="s">
        <v>173</v>
      </c>
      <c r="Y9" s="6" t="s">
        <v>174</v>
      </c>
      <c r="Z9" s="6"/>
      <c r="AA9" s="7" t="s">
        <v>75</v>
      </c>
      <c r="AB9" s="7"/>
      <c r="AC9" s="7"/>
    </row>
    <row r="10" customFormat="false" ht="120" hidden="false" customHeight="true" outlineLevel="0" collapsed="false">
      <c r="A10" s="6" t="n">
        <v>9</v>
      </c>
      <c r="B10" s="6" t="s">
        <v>50</v>
      </c>
      <c r="C10" s="6" t="s">
        <v>51</v>
      </c>
      <c r="D10" s="6" t="s">
        <v>76</v>
      </c>
      <c r="E10" s="6" t="s">
        <v>53</v>
      </c>
      <c r="F10" s="6" t="s">
        <v>175</v>
      </c>
      <c r="G10" s="6" t="s">
        <v>55</v>
      </c>
      <c r="H10" s="6" t="s">
        <v>56</v>
      </c>
      <c r="I10" s="6" t="s">
        <v>176</v>
      </c>
      <c r="J10" s="6" t="s">
        <v>154</v>
      </c>
      <c r="K10" s="6" t="s">
        <v>59</v>
      </c>
      <c r="L10" s="6" t="s">
        <v>177</v>
      </c>
      <c r="M10" s="6" t="s">
        <v>178</v>
      </c>
      <c r="N10" s="6" t="s">
        <v>179</v>
      </c>
      <c r="O10" s="6" t="s">
        <v>180</v>
      </c>
      <c r="P10" s="6" t="s">
        <v>158</v>
      </c>
      <c r="Q10" s="6" t="s">
        <v>159</v>
      </c>
      <c r="R10" s="6" t="s">
        <v>181</v>
      </c>
      <c r="S10" s="6" t="s">
        <v>182</v>
      </c>
      <c r="T10" s="6" t="s">
        <v>68</v>
      </c>
      <c r="U10" s="6" t="s">
        <v>163</v>
      </c>
      <c r="V10" s="6" t="s">
        <v>89</v>
      </c>
      <c r="W10" s="6" t="s">
        <v>183</v>
      </c>
      <c r="X10" s="6" t="s">
        <v>72</v>
      </c>
      <c r="Y10" s="6" t="s">
        <v>73</v>
      </c>
      <c r="Z10" s="6"/>
      <c r="AA10" s="7" t="s">
        <v>75</v>
      </c>
      <c r="AB10" s="7"/>
      <c r="AC10" s="7"/>
    </row>
    <row r="11" customFormat="false" ht="120" hidden="false" customHeight="true" outlineLevel="0" collapsed="false">
      <c r="A11" s="6" t="n">
        <v>10</v>
      </c>
      <c r="B11" s="6" t="s">
        <v>50</v>
      </c>
      <c r="C11" s="6" t="s">
        <v>51</v>
      </c>
      <c r="D11" s="6" t="s">
        <v>52</v>
      </c>
      <c r="E11" s="6" t="s">
        <v>53</v>
      </c>
      <c r="F11" s="6" t="s">
        <v>184</v>
      </c>
      <c r="G11" s="6" t="s">
        <v>77</v>
      </c>
      <c r="H11" s="6" t="s">
        <v>56</v>
      </c>
      <c r="I11" s="6" t="s">
        <v>185</v>
      </c>
      <c r="J11" s="6" t="s">
        <v>58</v>
      </c>
      <c r="K11" s="6" t="s">
        <v>59</v>
      </c>
      <c r="L11" s="6" t="s">
        <v>186</v>
      </c>
      <c r="M11" s="6" t="s">
        <v>187</v>
      </c>
      <c r="N11" s="6" t="s">
        <v>188</v>
      </c>
      <c r="O11" s="6" t="s">
        <v>189</v>
      </c>
      <c r="P11" s="6" t="s">
        <v>190</v>
      </c>
      <c r="Q11" s="6" t="s">
        <v>65</v>
      </c>
      <c r="R11" s="6" t="s">
        <v>191</v>
      </c>
      <c r="S11" s="6" t="s">
        <v>192</v>
      </c>
      <c r="T11" s="6" t="s">
        <v>68</v>
      </c>
      <c r="U11" s="6" t="s">
        <v>102</v>
      </c>
      <c r="V11" s="6" t="s">
        <v>193</v>
      </c>
      <c r="W11" s="6" t="s">
        <v>71</v>
      </c>
      <c r="X11" s="6" t="s">
        <v>194</v>
      </c>
      <c r="Y11" s="6" t="s">
        <v>174</v>
      </c>
      <c r="Z11" s="6"/>
      <c r="AA11" s="7" t="s">
        <v>75</v>
      </c>
      <c r="AB11" s="7"/>
      <c r="AC11" s="7"/>
    </row>
    <row r="12" customFormat="false" ht="120" hidden="false" customHeight="true" outlineLevel="0" collapsed="false">
      <c r="A12" s="6" t="n">
        <v>11</v>
      </c>
      <c r="B12" s="6" t="s">
        <v>50</v>
      </c>
      <c r="C12" s="6" t="s">
        <v>51</v>
      </c>
      <c r="D12" s="6" t="s">
        <v>91</v>
      </c>
      <c r="E12" s="6" t="s">
        <v>53</v>
      </c>
      <c r="F12" s="6" t="s">
        <v>195</v>
      </c>
      <c r="G12" s="6" t="s">
        <v>93</v>
      </c>
      <c r="H12" s="6" t="s">
        <v>56</v>
      </c>
      <c r="I12" s="6" t="s">
        <v>185</v>
      </c>
      <c r="J12" s="6" t="s">
        <v>58</v>
      </c>
      <c r="K12" s="6" t="s">
        <v>59</v>
      </c>
      <c r="L12" s="6" t="s">
        <v>196</v>
      </c>
      <c r="M12" s="6" t="s">
        <v>197</v>
      </c>
      <c r="N12" s="6" t="s">
        <v>198</v>
      </c>
      <c r="O12" s="6" t="s">
        <v>199</v>
      </c>
      <c r="P12" s="6" t="s">
        <v>200</v>
      </c>
      <c r="Q12" s="6" t="s">
        <v>65</v>
      </c>
      <c r="R12" s="6" t="s">
        <v>201</v>
      </c>
      <c r="S12" s="6" t="s">
        <v>202</v>
      </c>
      <c r="T12" s="6" t="s">
        <v>68</v>
      </c>
      <c r="U12" s="6" t="s">
        <v>88</v>
      </c>
      <c r="V12" s="6" t="s">
        <v>90</v>
      </c>
      <c r="W12" s="6" t="s">
        <v>103</v>
      </c>
      <c r="X12" s="6" t="s">
        <v>203</v>
      </c>
      <c r="Y12" s="6" t="s">
        <v>73</v>
      </c>
      <c r="Z12" s="6"/>
      <c r="AA12" s="7" t="s">
        <v>75</v>
      </c>
      <c r="AB12" s="7"/>
      <c r="AC12" s="7"/>
    </row>
    <row r="13" customFormat="false" ht="120" hidden="false" customHeight="true" outlineLevel="0" collapsed="false">
      <c r="A13" s="6" t="n">
        <v>12</v>
      </c>
      <c r="B13" s="6" t="s">
        <v>50</v>
      </c>
      <c r="C13" s="6" t="s">
        <v>51</v>
      </c>
      <c r="D13" s="6" t="s">
        <v>76</v>
      </c>
      <c r="E13" s="6" t="s">
        <v>53</v>
      </c>
      <c r="F13" s="6" t="s">
        <v>204</v>
      </c>
      <c r="G13" s="6" t="s">
        <v>77</v>
      </c>
      <c r="H13" s="6" t="s">
        <v>56</v>
      </c>
      <c r="I13" s="6" t="s">
        <v>185</v>
      </c>
      <c r="J13" s="6" t="s">
        <v>58</v>
      </c>
      <c r="K13" s="6" t="s">
        <v>59</v>
      </c>
      <c r="L13" s="6" t="s">
        <v>205</v>
      </c>
      <c r="M13" s="6" t="s">
        <v>206</v>
      </c>
      <c r="N13" s="6" t="s">
        <v>207</v>
      </c>
      <c r="O13" s="6" t="s">
        <v>208</v>
      </c>
      <c r="P13" s="6" t="s">
        <v>209</v>
      </c>
      <c r="Q13" s="6" t="s">
        <v>65</v>
      </c>
      <c r="R13" s="6" t="s">
        <v>210</v>
      </c>
      <c r="S13" s="6" t="s">
        <v>211</v>
      </c>
      <c r="T13" s="6" t="s">
        <v>68</v>
      </c>
      <c r="U13" s="6" t="s">
        <v>212</v>
      </c>
      <c r="V13" s="6" t="s">
        <v>89</v>
      </c>
      <c r="W13" s="6" t="s">
        <v>71</v>
      </c>
      <c r="X13" s="6" t="s">
        <v>213</v>
      </c>
      <c r="Y13" s="6" t="s">
        <v>174</v>
      </c>
      <c r="Z13" s="6"/>
      <c r="AA13" s="7" t="s">
        <v>75</v>
      </c>
      <c r="AB13" s="7"/>
      <c r="AC13" s="7"/>
    </row>
    <row r="14" customFormat="false" ht="120" hidden="false" customHeight="true" outlineLevel="0" collapsed="false">
      <c r="A14" s="6" t="n">
        <v>13</v>
      </c>
      <c r="B14" s="6" t="s">
        <v>50</v>
      </c>
      <c r="C14" s="6" t="s">
        <v>51</v>
      </c>
      <c r="D14" s="6" t="s">
        <v>52</v>
      </c>
      <c r="E14" s="6" t="s">
        <v>53</v>
      </c>
      <c r="F14" s="6" t="s">
        <v>214</v>
      </c>
      <c r="G14" s="6" t="s">
        <v>77</v>
      </c>
      <c r="H14" s="6" t="s">
        <v>56</v>
      </c>
      <c r="I14" s="6" t="s">
        <v>185</v>
      </c>
      <c r="J14" s="6" t="s">
        <v>58</v>
      </c>
      <c r="K14" s="6" t="s">
        <v>59</v>
      </c>
      <c r="L14" s="6" t="s">
        <v>215</v>
      </c>
      <c r="M14" s="6" t="s">
        <v>216</v>
      </c>
      <c r="N14" s="6" t="s">
        <v>217</v>
      </c>
      <c r="O14" s="6" t="s">
        <v>218</v>
      </c>
      <c r="P14" s="6" t="s">
        <v>85</v>
      </c>
      <c r="Q14" s="6" t="s">
        <v>65</v>
      </c>
      <c r="R14" s="6" t="s">
        <v>219</v>
      </c>
      <c r="S14" s="6" t="s">
        <v>220</v>
      </c>
      <c r="T14" s="6" t="s">
        <v>68</v>
      </c>
      <c r="U14" s="6" t="s">
        <v>88</v>
      </c>
      <c r="V14" s="6" t="s">
        <v>90</v>
      </c>
      <c r="W14" s="6" t="s">
        <v>221</v>
      </c>
      <c r="X14" s="6" t="s">
        <v>222</v>
      </c>
      <c r="Y14" s="6" t="s">
        <v>174</v>
      </c>
      <c r="Z14" s="6"/>
      <c r="AA14" s="7" t="s">
        <v>75</v>
      </c>
      <c r="AB14" s="7"/>
      <c r="AC14" s="7"/>
    </row>
    <row r="15" customFormat="false" ht="120" hidden="false" customHeight="true" outlineLevel="0" collapsed="false">
      <c r="A15" s="6" t="n">
        <v>14</v>
      </c>
      <c r="B15" s="6" t="s">
        <v>50</v>
      </c>
      <c r="C15" s="6" t="s">
        <v>51</v>
      </c>
      <c r="D15" s="6" t="s">
        <v>91</v>
      </c>
      <c r="E15" s="6" t="s">
        <v>53</v>
      </c>
      <c r="F15" s="6" t="s">
        <v>223</v>
      </c>
      <c r="G15" s="6" t="s">
        <v>70</v>
      </c>
      <c r="H15" s="6" t="s">
        <v>56</v>
      </c>
      <c r="I15" s="6" t="s">
        <v>79</v>
      </c>
      <c r="J15" s="6" t="s">
        <v>224</v>
      </c>
      <c r="K15" s="6" t="s">
        <v>59</v>
      </c>
      <c r="L15" s="6" t="s">
        <v>225</v>
      </c>
      <c r="M15" s="6" t="s">
        <v>226</v>
      </c>
      <c r="N15" s="6" t="s">
        <v>227</v>
      </c>
      <c r="O15" s="6" t="s">
        <v>228</v>
      </c>
      <c r="P15" s="6" t="s">
        <v>229</v>
      </c>
      <c r="Q15" s="6" t="s">
        <v>99</v>
      </c>
      <c r="R15" s="6" t="s">
        <v>230</v>
      </c>
      <c r="S15" s="6" t="s">
        <v>231</v>
      </c>
      <c r="T15" s="6" t="s">
        <v>68</v>
      </c>
      <c r="U15" s="6" t="s">
        <v>232</v>
      </c>
      <c r="V15" s="6" t="s">
        <v>90</v>
      </c>
      <c r="W15" s="6" t="s">
        <v>193</v>
      </c>
      <c r="X15" s="6" t="s">
        <v>233</v>
      </c>
      <c r="Y15" s="6" t="s">
        <v>73</v>
      </c>
      <c r="Z15" s="6"/>
      <c r="AA15" s="7" t="s">
        <v>75</v>
      </c>
      <c r="AB15" s="7"/>
      <c r="AC15" s="7"/>
    </row>
    <row r="16" customFormat="false" ht="120" hidden="false" customHeight="true" outlineLevel="0" collapsed="false">
      <c r="A16" s="6" t="n">
        <v>15</v>
      </c>
      <c r="B16" s="6" t="s">
        <v>50</v>
      </c>
      <c r="C16" s="6" t="s">
        <v>51</v>
      </c>
      <c r="D16" s="6" t="s">
        <v>234</v>
      </c>
      <c r="E16" s="6" t="s">
        <v>53</v>
      </c>
      <c r="F16" s="6" t="s">
        <v>235</v>
      </c>
      <c r="G16" s="6" t="s">
        <v>236</v>
      </c>
      <c r="H16" s="6" t="s">
        <v>56</v>
      </c>
      <c r="I16" s="6" t="s">
        <v>185</v>
      </c>
      <c r="J16" s="6" t="s">
        <v>58</v>
      </c>
      <c r="K16" s="6" t="s">
        <v>59</v>
      </c>
      <c r="L16" s="6" t="s">
        <v>237</v>
      </c>
      <c r="M16" s="6" t="s">
        <v>238</v>
      </c>
      <c r="N16" s="6" t="s">
        <v>239</v>
      </c>
      <c r="O16" s="6" t="s">
        <v>240</v>
      </c>
      <c r="P16" s="6" t="s">
        <v>241</v>
      </c>
      <c r="Q16" s="6" t="s">
        <v>99</v>
      </c>
      <c r="R16" s="6" t="s">
        <v>242</v>
      </c>
      <c r="S16" s="6" t="s">
        <v>243</v>
      </c>
      <c r="T16" s="6" t="s">
        <v>68</v>
      </c>
      <c r="U16" s="6" t="s">
        <v>69</v>
      </c>
      <c r="V16" s="6" t="s">
        <v>244</v>
      </c>
      <c r="W16" s="6" t="s">
        <v>70</v>
      </c>
      <c r="X16" s="6" t="s">
        <v>203</v>
      </c>
      <c r="Y16" s="6" t="s">
        <v>73</v>
      </c>
      <c r="Z16" s="6" t="s">
        <v>245</v>
      </c>
      <c r="AA16" s="7" t="s">
        <v>75</v>
      </c>
      <c r="AB16" s="7"/>
      <c r="AC16" s="7"/>
    </row>
    <row r="17" customFormat="false" ht="120" hidden="false" customHeight="true" outlineLevel="0" collapsed="false">
      <c r="A17" s="6" t="n">
        <v>16</v>
      </c>
      <c r="B17" s="6" t="s">
        <v>246</v>
      </c>
      <c r="C17" s="6" t="s">
        <v>51</v>
      </c>
      <c r="D17" s="6" t="s">
        <v>91</v>
      </c>
      <c r="E17" s="6" t="s">
        <v>107</v>
      </c>
      <c r="F17" s="6" t="s">
        <v>247</v>
      </c>
      <c r="G17" s="6" t="s">
        <v>248</v>
      </c>
      <c r="H17" s="6" t="s">
        <v>56</v>
      </c>
      <c r="I17" s="6" t="s">
        <v>249</v>
      </c>
      <c r="J17" s="6" t="s">
        <v>154</v>
      </c>
      <c r="K17" s="6" t="s">
        <v>59</v>
      </c>
      <c r="L17" s="6" t="s">
        <v>250</v>
      </c>
      <c r="M17" s="6" t="s">
        <v>251</v>
      </c>
      <c r="N17" s="6" t="s">
        <v>252</v>
      </c>
      <c r="O17" s="6" t="s">
        <v>253</v>
      </c>
      <c r="P17" s="6" t="s">
        <v>107</v>
      </c>
      <c r="Q17" s="6" t="s">
        <v>118</v>
      </c>
      <c r="R17" s="6" t="s">
        <v>254</v>
      </c>
      <c r="S17" s="6" t="s">
        <v>255</v>
      </c>
      <c r="T17" s="6" t="s">
        <v>68</v>
      </c>
      <c r="U17" s="6" t="s">
        <v>122</v>
      </c>
      <c r="V17" s="6" t="s">
        <v>193</v>
      </c>
      <c r="W17" s="6" t="s">
        <v>90</v>
      </c>
      <c r="X17" s="6" t="s">
        <v>256</v>
      </c>
      <c r="Y17" s="6" t="s">
        <v>73</v>
      </c>
      <c r="Z17" s="6"/>
      <c r="AA17" s="7" t="s">
        <v>75</v>
      </c>
      <c r="AB17" s="7"/>
      <c r="AC17" s="7"/>
    </row>
    <row r="18" customFormat="false" ht="120" hidden="false" customHeight="true" outlineLevel="0" collapsed="false">
      <c r="A18" s="6" t="n">
        <v>17</v>
      </c>
      <c r="B18" s="6" t="s">
        <v>246</v>
      </c>
      <c r="C18" s="6" t="s">
        <v>51</v>
      </c>
      <c r="D18" s="6" t="s">
        <v>76</v>
      </c>
      <c r="E18" s="6" t="s">
        <v>107</v>
      </c>
      <c r="F18" s="6" t="s">
        <v>257</v>
      </c>
      <c r="G18" s="6" t="s">
        <v>236</v>
      </c>
      <c r="H18" s="6" t="s">
        <v>56</v>
      </c>
      <c r="I18" s="6" t="s">
        <v>258</v>
      </c>
      <c r="J18" s="6" t="s">
        <v>154</v>
      </c>
      <c r="K18" s="6" t="s">
        <v>59</v>
      </c>
      <c r="L18" s="6" t="s">
        <v>259</v>
      </c>
      <c r="M18" s="6" t="s">
        <v>260</v>
      </c>
      <c r="N18" s="6" t="s">
        <v>261</v>
      </c>
      <c r="O18" s="6" t="s">
        <v>262</v>
      </c>
      <c r="P18" s="6" t="s">
        <v>107</v>
      </c>
      <c r="Q18" s="6" t="s">
        <v>118</v>
      </c>
      <c r="R18" s="6" t="s">
        <v>263</v>
      </c>
      <c r="S18" s="6" t="s">
        <v>264</v>
      </c>
      <c r="T18" s="6" t="s">
        <v>68</v>
      </c>
      <c r="U18" s="6" t="s">
        <v>122</v>
      </c>
      <c r="V18" s="6" t="s">
        <v>103</v>
      </c>
      <c r="W18" s="6" t="s">
        <v>89</v>
      </c>
      <c r="X18" s="6" t="s">
        <v>203</v>
      </c>
      <c r="Y18" s="6" t="s">
        <v>73</v>
      </c>
      <c r="Z18" s="6"/>
      <c r="AA18" s="7" t="s">
        <v>75</v>
      </c>
      <c r="AB18" s="7"/>
      <c r="AC18" s="7"/>
    </row>
    <row r="19" customFormat="false" ht="120" hidden="false" customHeight="true" outlineLevel="0" collapsed="false">
      <c r="A19" s="6" t="n">
        <v>18</v>
      </c>
      <c r="B19" s="6" t="s">
        <v>246</v>
      </c>
      <c r="C19" s="6" t="s">
        <v>51</v>
      </c>
      <c r="D19" s="6" t="s">
        <v>91</v>
      </c>
      <c r="E19" s="6" t="s">
        <v>128</v>
      </c>
      <c r="F19" s="6" t="s">
        <v>265</v>
      </c>
      <c r="G19" s="6" t="s">
        <v>248</v>
      </c>
      <c r="H19" s="6" t="s">
        <v>56</v>
      </c>
      <c r="I19" s="6" t="s">
        <v>266</v>
      </c>
      <c r="J19" s="6" t="s">
        <v>131</v>
      </c>
      <c r="K19" s="6" t="s">
        <v>59</v>
      </c>
      <c r="L19" s="6" t="s">
        <v>267</v>
      </c>
      <c r="M19" s="6" t="s">
        <v>268</v>
      </c>
      <c r="N19" s="6" t="s">
        <v>269</v>
      </c>
      <c r="O19" s="6" t="s">
        <v>270</v>
      </c>
      <c r="P19" s="6" t="s">
        <v>128</v>
      </c>
      <c r="Q19" s="6" t="s">
        <v>135</v>
      </c>
      <c r="R19" s="6" t="s">
        <v>271</v>
      </c>
      <c r="S19" s="6" t="s">
        <v>272</v>
      </c>
      <c r="T19" s="6" t="s">
        <v>68</v>
      </c>
      <c r="U19" s="6" t="s">
        <v>139</v>
      </c>
      <c r="V19" s="6" t="s">
        <v>193</v>
      </c>
      <c r="W19" s="6" t="s">
        <v>90</v>
      </c>
      <c r="X19" s="6" t="s">
        <v>256</v>
      </c>
      <c r="Y19" s="6" t="s">
        <v>73</v>
      </c>
      <c r="Z19" s="6"/>
      <c r="AA19" s="7" t="s">
        <v>75</v>
      </c>
      <c r="AB19" s="7"/>
      <c r="AC19" s="7"/>
    </row>
    <row r="20" customFormat="false" ht="120" hidden="false" customHeight="true" outlineLevel="0" collapsed="false">
      <c r="A20" s="6" t="n">
        <v>19</v>
      </c>
      <c r="B20" s="6" t="s">
        <v>246</v>
      </c>
      <c r="C20" s="6" t="s">
        <v>51</v>
      </c>
      <c r="D20" s="6" t="s">
        <v>76</v>
      </c>
      <c r="E20" s="6" t="s">
        <v>140</v>
      </c>
      <c r="F20" s="6" t="s">
        <v>273</v>
      </c>
      <c r="G20" s="6" t="s">
        <v>70</v>
      </c>
      <c r="H20" s="6" t="s">
        <v>56</v>
      </c>
      <c r="I20" s="6" t="s">
        <v>266</v>
      </c>
      <c r="J20" s="6" t="s">
        <v>131</v>
      </c>
      <c r="K20" s="6" t="s">
        <v>59</v>
      </c>
      <c r="L20" s="6" t="s">
        <v>274</v>
      </c>
      <c r="M20" s="6" t="s">
        <v>275</v>
      </c>
      <c r="N20" s="6" t="s">
        <v>276</v>
      </c>
      <c r="O20" s="6" t="s">
        <v>277</v>
      </c>
      <c r="P20" s="6" t="s">
        <v>140</v>
      </c>
      <c r="Q20" s="6" t="s">
        <v>146</v>
      </c>
      <c r="R20" s="6" t="s">
        <v>278</v>
      </c>
      <c r="S20" s="6" t="s">
        <v>279</v>
      </c>
      <c r="T20" s="6" t="s">
        <v>68</v>
      </c>
      <c r="U20" s="6" t="s">
        <v>150</v>
      </c>
      <c r="V20" s="6" t="s">
        <v>89</v>
      </c>
      <c r="W20" s="6" t="s">
        <v>103</v>
      </c>
      <c r="X20" s="6" t="s">
        <v>104</v>
      </c>
      <c r="Y20" s="6" t="s">
        <v>73</v>
      </c>
      <c r="Z20" s="6"/>
      <c r="AA20" s="7" t="s">
        <v>75</v>
      </c>
      <c r="AB20" s="7"/>
      <c r="AC20" s="7"/>
    </row>
    <row r="21" customFormat="false" ht="120" hidden="false" customHeight="true" outlineLevel="0" collapsed="false">
      <c r="A21" s="6" t="n">
        <v>20</v>
      </c>
      <c r="B21" s="6" t="s">
        <v>246</v>
      </c>
      <c r="C21" s="6" t="s">
        <v>51</v>
      </c>
      <c r="D21" s="6" t="s">
        <v>91</v>
      </c>
      <c r="E21" s="6" t="s">
        <v>140</v>
      </c>
      <c r="F21" s="6" t="s">
        <v>280</v>
      </c>
      <c r="G21" s="6" t="s">
        <v>281</v>
      </c>
      <c r="H21" s="6" t="s">
        <v>110</v>
      </c>
      <c r="I21" s="6" t="s">
        <v>266</v>
      </c>
      <c r="J21" s="6" t="s">
        <v>131</v>
      </c>
      <c r="K21" s="6" t="s">
        <v>59</v>
      </c>
      <c r="L21" s="6" t="s">
        <v>282</v>
      </c>
      <c r="M21" s="6" t="s">
        <v>283</v>
      </c>
      <c r="N21" s="6" t="s">
        <v>284</v>
      </c>
      <c r="O21" s="6" t="s">
        <v>285</v>
      </c>
      <c r="P21" s="6" t="s">
        <v>140</v>
      </c>
      <c r="Q21" s="6" t="s">
        <v>146</v>
      </c>
      <c r="R21" s="6" t="s">
        <v>286</v>
      </c>
      <c r="S21" s="6" t="s">
        <v>287</v>
      </c>
      <c r="T21" s="6" t="s">
        <v>68</v>
      </c>
      <c r="U21" s="6" t="s">
        <v>150</v>
      </c>
      <c r="V21" s="6" t="s">
        <v>193</v>
      </c>
      <c r="W21" s="6" t="s">
        <v>90</v>
      </c>
      <c r="X21" s="6" t="s">
        <v>288</v>
      </c>
      <c r="Y21" s="6" t="s">
        <v>126</v>
      </c>
      <c r="Z21" s="6"/>
      <c r="AA21" s="7" t="s">
        <v>75</v>
      </c>
      <c r="AB21" s="7"/>
      <c r="AC21" s="7"/>
    </row>
    <row r="22" customFormat="false" ht="120" hidden="false" customHeight="true" outlineLevel="0" collapsed="false">
      <c r="A22" s="6" t="n">
        <v>21</v>
      </c>
      <c r="B22" s="6" t="s">
        <v>246</v>
      </c>
      <c r="C22" s="6" t="s">
        <v>51</v>
      </c>
      <c r="D22" s="6" t="s">
        <v>91</v>
      </c>
      <c r="E22" s="6" t="s">
        <v>289</v>
      </c>
      <c r="F22" s="6" t="s">
        <v>290</v>
      </c>
      <c r="G22" s="6" t="s">
        <v>281</v>
      </c>
      <c r="H22" s="6" t="s">
        <v>110</v>
      </c>
      <c r="I22" s="6" t="s">
        <v>291</v>
      </c>
      <c r="J22" s="6" t="s">
        <v>292</v>
      </c>
      <c r="K22" s="6" t="s">
        <v>59</v>
      </c>
      <c r="L22" s="6" t="s">
        <v>293</v>
      </c>
      <c r="M22" s="6" t="s">
        <v>294</v>
      </c>
      <c r="N22" s="6" t="s">
        <v>295</v>
      </c>
      <c r="O22" s="6" t="s">
        <v>296</v>
      </c>
      <c r="P22" s="6" t="s">
        <v>289</v>
      </c>
      <c r="Q22" s="6" t="s">
        <v>297</v>
      </c>
      <c r="R22" s="6" t="s">
        <v>298</v>
      </c>
      <c r="S22" s="6" t="s">
        <v>299</v>
      </c>
      <c r="T22" s="6" t="s">
        <v>68</v>
      </c>
      <c r="U22" s="6" t="s">
        <v>300</v>
      </c>
      <c r="V22" s="6" t="s">
        <v>193</v>
      </c>
      <c r="W22" s="6" t="s">
        <v>301</v>
      </c>
      <c r="X22" s="6" t="s">
        <v>302</v>
      </c>
      <c r="Y22" s="6" t="s">
        <v>126</v>
      </c>
      <c r="Z22" s="6"/>
      <c r="AA22" s="7" t="s">
        <v>75</v>
      </c>
      <c r="AB22" s="7"/>
      <c r="AC22" s="7"/>
    </row>
    <row r="23" customFormat="false" ht="120" hidden="false" customHeight="true" outlineLevel="0" collapsed="false">
      <c r="A23" s="6" t="n">
        <v>22</v>
      </c>
      <c r="B23" s="6" t="s">
        <v>246</v>
      </c>
      <c r="C23" s="6" t="s">
        <v>51</v>
      </c>
      <c r="D23" s="6" t="s">
        <v>76</v>
      </c>
      <c r="E23" s="6" t="s">
        <v>289</v>
      </c>
      <c r="F23" s="6" t="s">
        <v>303</v>
      </c>
      <c r="G23" s="6" t="s">
        <v>70</v>
      </c>
      <c r="H23" s="6" t="s">
        <v>56</v>
      </c>
      <c r="I23" s="6" t="s">
        <v>304</v>
      </c>
      <c r="J23" s="6" t="s">
        <v>305</v>
      </c>
      <c r="K23" s="6" t="s">
        <v>59</v>
      </c>
      <c r="L23" s="6" t="s">
        <v>306</v>
      </c>
      <c r="M23" s="6" t="s">
        <v>307</v>
      </c>
      <c r="N23" s="6" t="s">
        <v>308</v>
      </c>
      <c r="O23" s="6" t="s">
        <v>309</v>
      </c>
      <c r="P23" s="6" t="s">
        <v>289</v>
      </c>
      <c r="Q23" s="6" t="s">
        <v>297</v>
      </c>
      <c r="R23" s="6" t="s">
        <v>310</v>
      </c>
      <c r="S23" s="6" t="s">
        <v>311</v>
      </c>
      <c r="T23" s="6" t="s">
        <v>68</v>
      </c>
      <c r="U23" s="6" t="s">
        <v>300</v>
      </c>
      <c r="V23" s="6" t="s">
        <v>89</v>
      </c>
      <c r="W23" s="6" t="s">
        <v>221</v>
      </c>
      <c r="X23" s="6" t="s">
        <v>213</v>
      </c>
      <c r="Y23" s="6" t="s">
        <v>73</v>
      </c>
      <c r="Z23" s="6"/>
      <c r="AA23" s="7" t="s">
        <v>75</v>
      </c>
      <c r="AB23" s="7"/>
      <c r="AC23" s="7"/>
    </row>
    <row r="24" customFormat="false" ht="120" hidden="false" customHeight="true" outlineLevel="0" collapsed="false">
      <c r="A24" s="6" t="n">
        <v>23</v>
      </c>
      <c r="B24" s="6" t="s">
        <v>246</v>
      </c>
      <c r="C24" s="6" t="s">
        <v>51</v>
      </c>
      <c r="D24" s="6" t="s">
        <v>91</v>
      </c>
      <c r="E24" s="6" t="s">
        <v>151</v>
      </c>
      <c r="F24" s="6" t="s">
        <v>152</v>
      </c>
      <c r="G24" s="6" t="s">
        <v>281</v>
      </c>
      <c r="H24" s="6" t="s">
        <v>110</v>
      </c>
      <c r="I24" s="6" t="s">
        <v>312</v>
      </c>
      <c r="J24" s="6" t="s">
        <v>154</v>
      </c>
      <c r="K24" s="6" t="s">
        <v>59</v>
      </c>
      <c r="L24" s="6" t="s">
        <v>313</v>
      </c>
      <c r="M24" s="6" t="s">
        <v>314</v>
      </c>
      <c r="N24" s="6" t="s">
        <v>315</v>
      </c>
      <c r="O24" s="6" t="s">
        <v>316</v>
      </c>
      <c r="P24" s="6" t="s">
        <v>158</v>
      </c>
      <c r="Q24" s="6" t="s">
        <v>159</v>
      </c>
      <c r="R24" s="6" t="s">
        <v>317</v>
      </c>
      <c r="S24" s="6" t="s">
        <v>318</v>
      </c>
      <c r="T24" s="6" t="s">
        <v>68</v>
      </c>
      <c r="U24" s="6" t="s">
        <v>163</v>
      </c>
      <c r="V24" s="6" t="s">
        <v>193</v>
      </c>
      <c r="W24" s="6" t="s">
        <v>301</v>
      </c>
      <c r="X24" s="6" t="s">
        <v>302</v>
      </c>
      <c r="Y24" s="6" t="s">
        <v>126</v>
      </c>
      <c r="Z24" s="6"/>
      <c r="AA24" s="7" t="s">
        <v>75</v>
      </c>
      <c r="AB24" s="7"/>
      <c r="AC24" s="7"/>
    </row>
    <row r="25" customFormat="false" ht="120" hidden="false" customHeight="true" outlineLevel="0" collapsed="false">
      <c r="A25" s="6" t="n">
        <v>24</v>
      </c>
      <c r="B25" s="6" t="s">
        <v>246</v>
      </c>
      <c r="C25" s="6" t="s">
        <v>51</v>
      </c>
      <c r="D25" s="6" t="s">
        <v>52</v>
      </c>
      <c r="E25" s="6" t="s">
        <v>151</v>
      </c>
      <c r="F25" s="6" t="s">
        <v>319</v>
      </c>
      <c r="G25" s="6" t="s">
        <v>236</v>
      </c>
      <c r="H25" s="6" t="s">
        <v>56</v>
      </c>
      <c r="I25" s="6" t="s">
        <v>266</v>
      </c>
      <c r="J25" s="6" t="s">
        <v>224</v>
      </c>
      <c r="K25" s="6" t="s">
        <v>59</v>
      </c>
      <c r="L25" s="6" t="s">
        <v>320</v>
      </c>
      <c r="M25" s="6" t="s">
        <v>321</v>
      </c>
      <c r="N25" s="6" t="s">
        <v>322</v>
      </c>
      <c r="O25" s="6" t="s">
        <v>323</v>
      </c>
      <c r="P25" s="6" t="s">
        <v>158</v>
      </c>
      <c r="Q25" s="6" t="s">
        <v>159</v>
      </c>
      <c r="R25" s="6" t="s">
        <v>324</v>
      </c>
      <c r="S25" s="6" t="s">
        <v>325</v>
      </c>
      <c r="T25" s="6" t="s">
        <v>68</v>
      </c>
      <c r="U25" s="6" t="s">
        <v>163</v>
      </c>
      <c r="V25" s="6" t="s">
        <v>221</v>
      </c>
      <c r="W25" s="6" t="s">
        <v>90</v>
      </c>
      <c r="X25" s="6" t="s">
        <v>326</v>
      </c>
      <c r="Y25" s="6" t="s">
        <v>126</v>
      </c>
      <c r="Z25" s="6"/>
      <c r="AA25" s="7" t="s">
        <v>75</v>
      </c>
      <c r="AB25" s="7"/>
      <c r="AC25" s="7"/>
    </row>
    <row r="26" customFormat="false" ht="120" hidden="false" customHeight="true" outlineLevel="0" collapsed="false">
      <c r="A26" s="6" t="n">
        <v>25</v>
      </c>
      <c r="B26" s="6" t="s">
        <v>246</v>
      </c>
      <c r="C26" s="6" t="s">
        <v>51</v>
      </c>
      <c r="D26" s="6" t="s">
        <v>76</v>
      </c>
      <c r="E26" s="6" t="s">
        <v>107</v>
      </c>
      <c r="F26" s="6" t="s">
        <v>327</v>
      </c>
      <c r="G26" s="6" t="s">
        <v>70</v>
      </c>
      <c r="H26" s="6" t="s">
        <v>56</v>
      </c>
      <c r="I26" s="6" t="s">
        <v>249</v>
      </c>
      <c r="J26" s="6" t="s">
        <v>154</v>
      </c>
      <c r="K26" s="6" t="s">
        <v>59</v>
      </c>
      <c r="L26" s="6" t="s">
        <v>328</v>
      </c>
      <c r="M26" s="6" t="s">
        <v>329</v>
      </c>
      <c r="N26" s="6" t="s">
        <v>330</v>
      </c>
      <c r="O26" s="6" t="s">
        <v>331</v>
      </c>
      <c r="P26" s="6" t="s">
        <v>107</v>
      </c>
      <c r="Q26" s="6" t="s">
        <v>118</v>
      </c>
      <c r="R26" s="6" t="s">
        <v>332</v>
      </c>
      <c r="S26" s="6" t="s">
        <v>333</v>
      </c>
      <c r="T26" s="6" t="s">
        <v>68</v>
      </c>
      <c r="U26" s="6" t="s">
        <v>122</v>
      </c>
      <c r="V26" s="6" t="s">
        <v>89</v>
      </c>
      <c r="W26" s="6" t="s">
        <v>90</v>
      </c>
      <c r="X26" s="6" t="s">
        <v>72</v>
      </c>
      <c r="Y26" s="6" t="s">
        <v>73</v>
      </c>
      <c r="Z26" s="6"/>
      <c r="AA26" s="7" t="s">
        <v>75</v>
      </c>
      <c r="AB26" s="7"/>
      <c r="AC26" s="7"/>
    </row>
    <row r="27" customFormat="false" ht="120" hidden="false" customHeight="true" outlineLevel="0" collapsed="false">
      <c r="A27" s="6" t="n">
        <v>26</v>
      </c>
      <c r="B27" s="6" t="s">
        <v>246</v>
      </c>
      <c r="C27" s="6" t="s">
        <v>51</v>
      </c>
      <c r="D27" s="6" t="s">
        <v>91</v>
      </c>
      <c r="E27" s="6" t="s">
        <v>334</v>
      </c>
      <c r="F27" s="6" t="s">
        <v>335</v>
      </c>
      <c r="G27" s="6" t="s">
        <v>281</v>
      </c>
      <c r="H27" s="6" t="s">
        <v>110</v>
      </c>
      <c r="I27" s="6" t="s">
        <v>258</v>
      </c>
      <c r="J27" s="6" t="s">
        <v>154</v>
      </c>
      <c r="K27" s="6" t="s">
        <v>59</v>
      </c>
      <c r="L27" s="6" t="s">
        <v>336</v>
      </c>
      <c r="M27" s="6" t="s">
        <v>337</v>
      </c>
      <c r="N27" s="6" t="s">
        <v>338</v>
      </c>
      <c r="O27" s="6" t="s">
        <v>339</v>
      </c>
      <c r="P27" s="6" t="s">
        <v>340</v>
      </c>
      <c r="Q27" s="6" t="s">
        <v>99</v>
      </c>
      <c r="R27" s="6" t="s">
        <v>341</v>
      </c>
      <c r="S27" s="6" t="s">
        <v>342</v>
      </c>
      <c r="T27" s="6" t="s">
        <v>68</v>
      </c>
      <c r="U27" s="6" t="s">
        <v>232</v>
      </c>
      <c r="V27" s="6" t="s">
        <v>193</v>
      </c>
      <c r="W27" s="6" t="s">
        <v>90</v>
      </c>
      <c r="X27" s="6" t="s">
        <v>288</v>
      </c>
      <c r="Y27" s="6" t="s">
        <v>73</v>
      </c>
      <c r="Z27" s="6"/>
      <c r="AA27" s="7" t="s">
        <v>75</v>
      </c>
      <c r="AB27" s="7"/>
      <c r="AC27" s="7"/>
    </row>
    <row r="28" customFormat="false" ht="120" hidden="false" customHeight="true" outlineLevel="0" collapsed="false">
      <c r="A28" s="6" t="n">
        <v>27</v>
      </c>
      <c r="B28" s="6" t="s">
        <v>246</v>
      </c>
      <c r="C28" s="6" t="s">
        <v>51</v>
      </c>
      <c r="D28" s="6" t="s">
        <v>76</v>
      </c>
      <c r="E28" s="6" t="s">
        <v>53</v>
      </c>
      <c r="F28" s="6" t="s">
        <v>343</v>
      </c>
      <c r="G28" s="6" t="s">
        <v>70</v>
      </c>
      <c r="H28" s="6" t="s">
        <v>56</v>
      </c>
      <c r="I28" s="6" t="s">
        <v>344</v>
      </c>
      <c r="J28" s="6" t="s">
        <v>345</v>
      </c>
      <c r="K28" s="6" t="s">
        <v>59</v>
      </c>
      <c r="L28" s="6" t="s">
        <v>346</v>
      </c>
      <c r="M28" s="6" t="s">
        <v>347</v>
      </c>
      <c r="N28" s="6" t="s">
        <v>348</v>
      </c>
      <c r="O28" s="6" t="s">
        <v>349</v>
      </c>
      <c r="P28" s="6" t="s">
        <v>350</v>
      </c>
      <c r="Q28" s="6" t="s">
        <v>99</v>
      </c>
      <c r="R28" s="6" t="s">
        <v>351</v>
      </c>
      <c r="S28" s="6" t="s">
        <v>352</v>
      </c>
      <c r="T28" s="6" t="s">
        <v>68</v>
      </c>
      <c r="U28" s="6" t="s">
        <v>232</v>
      </c>
      <c r="V28" s="6" t="s">
        <v>90</v>
      </c>
      <c r="W28" s="6" t="s">
        <v>89</v>
      </c>
      <c r="X28" s="6" t="s">
        <v>173</v>
      </c>
      <c r="Y28" s="6" t="s">
        <v>73</v>
      </c>
      <c r="Z28" s="6"/>
      <c r="AA28" s="7" t="s">
        <v>75</v>
      </c>
      <c r="AB28" s="7"/>
      <c r="AC28" s="7"/>
    </row>
    <row r="29" customFormat="false" ht="120" hidden="false" customHeight="true" outlineLevel="0" collapsed="false">
      <c r="A29" s="6" t="n">
        <v>28</v>
      </c>
      <c r="B29" s="6" t="s">
        <v>246</v>
      </c>
      <c r="C29" s="6" t="s">
        <v>51</v>
      </c>
      <c r="D29" s="6" t="s">
        <v>52</v>
      </c>
      <c r="E29" s="6" t="s">
        <v>107</v>
      </c>
      <c r="F29" s="6" t="s">
        <v>353</v>
      </c>
      <c r="G29" s="6" t="s">
        <v>281</v>
      </c>
      <c r="H29" s="6" t="s">
        <v>110</v>
      </c>
      <c r="I29" s="6" t="s">
        <v>354</v>
      </c>
      <c r="J29" s="6" t="s">
        <v>355</v>
      </c>
      <c r="K29" s="6" t="s">
        <v>59</v>
      </c>
      <c r="L29" s="6" t="s">
        <v>356</v>
      </c>
      <c r="M29" s="6" t="s">
        <v>357</v>
      </c>
      <c r="N29" s="6" t="s">
        <v>358</v>
      </c>
      <c r="O29" s="6" t="s">
        <v>359</v>
      </c>
      <c r="P29" s="6" t="s">
        <v>360</v>
      </c>
      <c r="Q29" s="6" t="s">
        <v>118</v>
      </c>
      <c r="R29" s="6" t="s">
        <v>361</v>
      </c>
      <c r="S29" s="6" t="s">
        <v>362</v>
      </c>
      <c r="T29" s="6" t="s">
        <v>68</v>
      </c>
      <c r="U29" s="6" t="s">
        <v>122</v>
      </c>
      <c r="V29" s="6" t="s">
        <v>221</v>
      </c>
      <c r="W29" s="6" t="s">
        <v>193</v>
      </c>
      <c r="X29" s="6" t="s">
        <v>363</v>
      </c>
      <c r="Y29" s="6" t="s">
        <v>126</v>
      </c>
      <c r="Z29" s="6"/>
      <c r="AA29" s="7" t="s">
        <v>75</v>
      </c>
      <c r="AB29" s="7"/>
      <c r="AC29" s="7"/>
    </row>
    <row r="30" customFormat="false" ht="120" hidden="false" customHeight="true" outlineLevel="0" collapsed="false">
      <c r="A30" s="6" t="n">
        <v>29</v>
      </c>
      <c r="B30" s="6" t="s">
        <v>246</v>
      </c>
      <c r="C30" s="6" t="s">
        <v>51</v>
      </c>
      <c r="D30" s="6" t="s">
        <v>91</v>
      </c>
      <c r="E30" s="6" t="s">
        <v>53</v>
      </c>
      <c r="F30" s="6" t="s">
        <v>364</v>
      </c>
      <c r="G30" s="6" t="s">
        <v>70</v>
      </c>
      <c r="H30" s="6" t="s">
        <v>56</v>
      </c>
      <c r="I30" s="6" t="s">
        <v>185</v>
      </c>
      <c r="J30" s="6" t="s">
        <v>58</v>
      </c>
      <c r="K30" s="6" t="s">
        <v>59</v>
      </c>
      <c r="L30" s="6" t="s">
        <v>365</v>
      </c>
      <c r="M30" s="6" t="s">
        <v>366</v>
      </c>
      <c r="N30" s="6" t="s">
        <v>367</v>
      </c>
      <c r="O30" s="6" t="s">
        <v>368</v>
      </c>
      <c r="P30" s="6" t="s">
        <v>369</v>
      </c>
      <c r="Q30" s="6" t="s">
        <v>99</v>
      </c>
      <c r="R30" s="6" t="s">
        <v>370</v>
      </c>
      <c r="S30" s="6" t="s">
        <v>371</v>
      </c>
      <c r="T30" s="6" t="s">
        <v>68</v>
      </c>
      <c r="U30" s="6" t="s">
        <v>212</v>
      </c>
      <c r="V30" s="6" t="s">
        <v>90</v>
      </c>
      <c r="W30" s="6" t="s">
        <v>183</v>
      </c>
      <c r="X30" s="6" t="s">
        <v>104</v>
      </c>
      <c r="Y30" s="6" t="s">
        <v>73</v>
      </c>
      <c r="Z30" s="6"/>
      <c r="AA30" s="7" t="s">
        <v>75</v>
      </c>
      <c r="AB30" s="7"/>
      <c r="AC30" s="7"/>
    </row>
    <row r="31" customFormat="false" ht="120" hidden="false" customHeight="true" outlineLevel="0" collapsed="false">
      <c r="A31" s="6" t="n">
        <v>30</v>
      </c>
      <c r="B31" s="6" t="s">
        <v>246</v>
      </c>
      <c r="C31" s="6" t="s">
        <v>51</v>
      </c>
      <c r="D31" s="6" t="s">
        <v>372</v>
      </c>
      <c r="E31" s="6" t="s">
        <v>53</v>
      </c>
      <c r="F31" s="6" t="s">
        <v>373</v>
      </c>
      <c r="G31" s="6" t="s">
        <v>374</v>
      </c>
      <c r="H31" s="6" t="s">
        <v>110</v>
      </c>
      <c r="I31" s="6" t="s">
        <v>185</v>
      </c>
      <c r="J31" s="6" t="s">
        <v>58</v>
      </c>
      <c r="K31" s="6" t="s">
        <v>59</v>
      </c>
      <c r="L31" s="6" t="s">
        <v>375</v>
      </c>
      <c r="M31" s="6" t="s">
        <v>376</v>
      </c>
      <c r="N31" s="6" t="s">
        <v>377</v>
      </c>
      <c r="O31" s="6" t="s">
        <v>378</v>
      </c>
      <c r="P31" s="6" t="s">
        <v>229</v>
      </c>
      <c r="Q31" s="6" t="s">
        <v>99</v>
      </c>
      <c r="R31" s="6" t="s">
        <v>379</v>
      </c>
      <c r="S31" s="6" t="s">
        <v>380</v>
      </c>
      <c r="T31" s="6" t="s">
        <v>68</v>
      </c>
      <c r="U31" s="6" t="s">
        <v>232</v>
      </c>
      <c r="V31" s="6" t="s">
        <v>193</v>
      </c>
      <c r="W31" s="6" t="s">
        <v>381</v>
      </c>
      <c r="X31" s="6" t="s">
        <v>302</v>
      </c>
      <c r="Y31" s="6" t="s">
        <v>126</v>
      </c>
      <c r="Z31" s="6" t="s">
        <v>382</v>
      </c>
      <c r="AA31" s="7" t="s">
        <v>75</v>
      </c>
      <c r="AB31" s="7"/>
      <c r="AC31" s="7"/>
    </row>
    <row r="32" customFormat="false" ht="120" hidden="false" customHeight="true" outlineLevel="0" collapsed="false">
      <c r="A32" s="6" t="n">
        <v>31</v>
      </c>
      <c r="B32" s="6" t="s">
        <v>383</v>
      </c>
      <c r="C32" s="6" t="s">
        <v>51</v>
      </c>
      <c r="D32" s="6" t="s">
        <v>91</v>
      </c>
      <c r="E32" s="6" t="s">
        <v>384</v>
      </c>
      <c r="F32" s="6" t="s">
        <v>385</v>
      </c>
      <c r="G32" s="6" t="s">
        <v>248</v>
      </c>
      <c r="H32" s="6" t="s">
        <v>110</v>
      </c>
      <c r="I32" s="6" t="s">
        <v>185</v>
      </c>
      <c r="J32" s="6" t="s">
        <v>58</v>
      </c>
      <c r="K32" s="6" t="s">
        <v>59</v>
      </c>
      <c r="L32" s="6" t="s">
        <v>386</v>
      </c>
      <c r="M32" s="6" t="s">
        <v>387</v>
      </c>
      <c r="N32" s="6" t="s">
        <v>388</v>
      </c>
      <c r="O32" s="6" t="s">
        <v>389</v>
      </c>
      <c r="P32" s="6" t="s">
        <v>390</v>
      </c>
      <c r="Q32" s="6" t="s">
        <v>65</v>
      </c>
      <c r="R32" s="6" t="s">
        <v>391</v>
      </c>
      <c r="S32" s="6" t="s">
        <v>392</v>
      </c>
      <c r="T32" s="6" t="s">
        <v>68</v>
      </c>
      <c r="U32" s="6" t="s">
        <v>393</v>
      </c>
      <c r="V32" s="6" t="s">
        <v>193</v>
      </c>
      <c r="W32" s="6" t="s">
        <v>90</v>
      </c>
      <c r="X32" s="6" t="s">
        <v>256</v>
      </c>
      <c r="Y32" s="6" t="s">
        <v>73</v>
      </c>
      <c r="Z32" s="6"/>
      <c r="AA32" s="7" t="s">
        <v>75</v>
      </c>
      <c r="AB32" s="7"/>
      <c r="AC32" s="7"/>
    </row>
    <row r="33" customFormat="false" ht="120" hidden="false" customHeight="true" outlineLevel="0" collapsed="false">
      <c r="A33" s="6" t="n">
        <v>32</v>
      </c>
      <c r="B33" s="6" t="s">
        <v>383</v>
      </c>
      <c r="C33" s="6" t="s">
        <v>51</v>
      </c>
      <c r="D33" s="6" t="s">
        <v>52</v>
      </c>
      <c r="E33" s="6" t="s">
        <v>107</v>
      </c>
      <c r="F33" s="6" t="s">
        <v>394</v>
      </c>
      <c r="G33" s="6" t="s">
        <v>281</v>
      </c>
      <c r="H33" s="6" t="s">
        <v>110</v>
      </c>
      <c r="I33" s="6" t="s">
        <v>258</v>
      </c>
      <c r="J33" s="6" t="s">
        <v>154</v>
      </c>
      <c r="K33" s="6" t="s">
        <v>59</v>
      </c>
      <c r="L33" s="6" t="s">
        <v>395</v>
      </c>
      <c r="M33" s="6" t="s">
        <v>396</v>
      </c>
      <c r="N33" s="6" t="s">
        <v>397</v>
      </c>
      <c r="O33" s="6" t="s">
        <v>398</v>
      </c>
      <c r="P33" s="6" t="s">
        <v>399</v>
      </c>
      <c r="Q33" s="6" t="s">
        <v>118</v>
      </c>
      <c r="R33" s="6" t="s">
        <v>400</v>
      </c>
      <c r="S33" s="6" t="s">
        <v>401</v>
      </c>
      <c r="T33" s="6" t="s">
        <v>68</v>
      </c>
      <c r="U33" s="6" t="s">
        <v>122</v>
      </c>
      <c r="V33" s="6" t="s">
        <v>193</v>
      </c>
      <c r="W33" s="6" t="s">
        <v>221</v>
      </c>
      <c r="X33" s="6" t="s">
        <v>402</v>
      </c>
      <c r="Y33" s="6" t="s">
        <v>126</v>
      </c>
      <c r="Z33" s="6"/>
      <c r="AA33" s="7" t="s">
        <v>75</v>
      </c>
      <c r="AB33" s="7"/>
      <c r="AC33" s="7"/>
    </row>
    <row r="34" customFormat="false" ht="120" hidden="false" customHeight="true" outlineLevel="0" collapsed="false">
      <c r="A34" s="6" t="n">
        <v>33</v>
      </c>
      <c r="B34" s="6" t="s">
        <v>383</v>
      </c>
      <c r="C34" s="6" t="s">
        <v>51</v>
      </c>
      <c r="D34" s="6" t="s">
        <v>76</v>
      </c>
      <c r="E34" s="6" t="s">
        <v>53</v>
      </c>
      <c r="F34" s="6" t="s">
        <v>403</v>
      </c>
      <c r="G34" s="6" t="s">
        <v>70</v>
      </c>
      <c r="H34" s="6" t="s">
        <v>56</v>
      </c>
      <c r="I34" s="6" t="s">
        <v>185</v>
      </c>
      <c r="J34" s="6" t="s">
        <v>58</v>
      </c>
      <c r="K34" s="6" t="s">
        <v>59</v>
      </c>
      <c r="L34" s="6" t="s">
        <v>404</v>
      </c>
      <c r="M34" s="6" t="s">
        <v>405</v>
      </c>
      <c r="N34" s="6" t="s">
        <v>406</v>
      </c>
      <c r="O34" s="6" t="s">
        <v>407</v>
      </c>
      <c r="P34" s="6" t="s">
        <v>190</v>
      </c>
      <c r="Q34" s="6" t="s">
        <v>65</v>
      </c>
      <c r="R34" s="6" t="s">
        <v>408</v>
      </c>
      <c r="S34" s="6" t="s">
        <v>409</v>
      </c>
      <c r="T34" s="6" t="s">
        <v>68</v>
      </c>
      <c r="U34" s="6" t="s">
        <v>102</v>
      </c>
      <c r="V34" s="6" t="s">
        <v>90</v>
      </c>
      <c r="W34" s="6" t="s">
        <v>89</v>
      </c>
      <c r="X34" s="6" t="s">
        <v>173</v>
      </c>
      <c r="Y34" s="6" t="s">
        <v>73</v>
      </c>
      <c r="Z34" s="6"/>
      <c r="AA34" s="7" t="s">
        <v>75</v>
      </c>
      <c r="AB34" s="7"/>
      <c r="AC34" s="7"/>
    </row>
    <row r="35" customFormat="false" ht="120" hidden="false" customHeight="true" outlineLevel="0" collapsed="false">
      <c r="A35" s="6" t="n">
        <v>34</v>
      </c>
      <c r="B35" s="6" t="s">
        <v>383</v>
      </c>
      <c r="C35" s="6" t="s">
        <v>51</v>
      </c>
      <c r="D35" s="6" t="s">
        <v>91</v>
      </c>
      <c r="E35" s="6" t="s">
        <v>384</v>
      </c>
      <c r="F35" s="6" t="s">
        <v>410</v>
      </c>
      <c r="G35" s="6" t="s">
        <v>281</v>
      </c>
      <c r="H35" s="6" t="s">
        <v>110</v>
      </c>
      <c r="I35" s="6" t="s">
        <v>258</v>
      </c>
      <c r="J35" s="6" t="s">
        <v>154</v>
      </c>
      <c r="K35" s="6" t="s">
        <v>59</v>
      </c>
      <c r="L35" s="6" t="s">
        <v>411</v>
      </c>
      <c r="M35" s="6" t="s">
        <v>412</v>
      </c>
      <c r="N35" s="6" t="s">
        <v>413</v>
      </c>
      <c r="O35" s="6" t="s">
        <v>414</v>
      </c>
      <c r="P35" s="6" t="s">
        <v>107</v>
      </c>
      <c r="Q35" s="6" t="s">
        <v>118</v>
      </c>
      <c r="R35" s="6" t="s">
        <v>415</v>
      </c>
      <c r="S35" s="6" t="s">
        <v>416</v>
      </c>
      <c r="T35" s="6" t="s">
        <v>68</v>
      </c>
      <c r="U35" s="6" t="s">
        <v>122</v>
      </c>
      <c r="V35" s="6" t="s">
        <v>193</v>
      </c>
      <c r="W35" s="6" t="s">
        <v>90</v>
      </c>
      <c r="X35" s="6" t="s">
        <v>288</v>
      </c>
      <c r="Y35" s="6" t="s">
        <v>126</v>
      </c>
      <c r="Z35" s="6"/>
      <c r="AA35" s="7" t="s">
        <v>75</v>
      </c>
      <c r="AB35" s="7"/>
      <c r="AC35" s="7"/>
    </row>
    <row r="36" customFormat="false" ht="120" hidden="false" customHeight="true" outlineLevel="0" collapsed="false">
      <c r="A36" s="6" t="n">
        <v>35</v>
      </c>
      <c r="B36" s="6" t="s">
        <v>383</v>
      </c>
      <c r="C36" s="6" t="s">
        <v>51</v>
      </c>
      <c r="D36" s="6" t="s">
        <v>52</v>
      </c>
      <c r="E36" s="6" t="s">
        <v>53</v>
      </c>
      <c r="F36" s="6" t="s">
        <v>417</v>
      </c>
      <c r="G36" s="6" t="s">
        <v>77</v>
      </c>
      <c r="H36" s="6" t="s">
        <v>110</v>
      </c>
      <c r="I36" s="6" t="s">
        <v>185</v>
      </c>
      <c r="J36" s="6" t="s">
        <v>58</v>
      </c>
      <c r="K36" s="6" t="s">
        <v>59</v>
      </c>
      <c r="L36" s="6" t="s">
        <v>418</v>
      </c>
      <c r="M36" s="6" t="s">
        <v>419</v>
      </c>
      <c r="N36" s="6" t="s">
        <v>420</v>
      </c>
      <c r="O36" s="6" t="s">
        <v>421</v>
      </c>
      <c r="P36" s="6" t="s">
        <v>85</v>
      </c>
      <c r="Q36" s="6" t="s">
        <v>65</v>
      </c>
      <c r="R36" s="6" t="s">
        <v>422</v>
      </c>
      <c r="S36" s="6" t="s">
        <v>423</v>
      </c>
      <c r="T36" s="6" t="s">
        <v>68</v>
      </c>
      <c r="U36" s="6" t="s">
        <v>88</v>
      </c>
      <c r="V36" s="6" t="s">
        <v>183</v>
      </c>
      <c r="W36" s="6" t="s">
        <v>90</v>
      </c>
      <c r="X36" s="6" t="s">
        <v>424</v>
      </c>
      <c r="Y36" s="6" t="s">
        <v>174</v>
      </c>
      <c r="Z36" s="6"/>
      <c r="AA36" s="7" t="s">
        <v>75</v>
      </c>
      <c r="AB36" s="7"/>
      <c r="AC36" s="7"/>
    </row>
    <row r="37" customFormat="false" ht="120" hidden="false" customHeight="true" outlineLevel="0" collapsed="false">
      <c r="A37" s="6" t="n">
        <v>36</v>
      </c>
      <c r="B37" s="6" t="s">
        <v>383</v>
      </c>
      <c r="C37" s="6" t="s">
        <v>51</v>
      </c>
      <c r="D37" s="6" t="s">
        <v>91</v>
      </c>
      <c r="E37" s="6" t="s">
        <v>53</v>
      </c>
      <c r="F37" s="6" t="s">
        <v>425</v>
      </c>
      <c r="G37" s="6" t="s">
        <v>281</v>
      </c>
      <c r="H37" s="6" t="s">
        <v>110</v>
      </c>
      <c r="I37" s="6" t="s">
        <v>185</v>
      </c>
      <c r="J37" s="6" t="s">
        <v>58</v>
      </c>
      <c r="K37" s="6" t="s">
        <v>59</v>
      </c>
      <c r="L37" s="6" t="s">
        <v>426</v>
      </c>
      <c r="M37" s="6" t="s">
        <v>427</v>
      </c>
      <c r="N37" s="6" t="s">
        <v>428</v>
      </c>
      <c r="O37" s="6" t="s">
        <v>429</v>
      </c>
      <c r="P37" s="6" t="s">
        <v>430</v>
      </c>
      <c r="Q37" s="6" t="s">
        <v>65</v>
      </c>
      <c r="R37" s="6" t="s">
        <v>431</v>
      </c>
      <c r="S37" s="6" t="s">
        <v>432</v>
      </c>
      <c r="T37" s="6" t="s">
        <v>68</v>
      </c>
      <c r="U37" s="6" t="s">
        <v>433</v>
      </c>
      <c r="V37" s="6" t="s">
        <v>193</v>
      </c>
      <c r="W37" s="6" t="s">
        <v>90</v>
      </c>
      <c r="X37" s="6" t="s">
        <v>256</v>
      </c>
      <c r="Y37" s="6" t="s">
        <v>73</v>
      </c>
      <c r="Z37" s="6"/>
      <c r="AA37" s="7" t="s">
        <v>75</v>
      </c>
      <c r="AB37" s="7"/>
      <c r="AC37" s="7"/>
    </row>
    <row r="38" customFormat="false" ht="120" hidden="false" customHeight="true" outlineLevel="0" collapsed="false">
      <c r="A38" s="6" t="n">
        <v>37</v>
      </c>
      <c r="B38" s="6" t="s">
        <v>383</v>
      </c>
      <c r="C38" s="6" t="s">
        <v>51</v>
      </c>
      <c r="D38" s="6" t="s">
        <v>76</v>
      </c>
      <c r="E38" s="6" t="s">
        <v>128</v>
      </c>
      <c r="F38" s="6" t="s">
        <v>434</v>
      </c>
      <c r="G38" s="6" t="s">
        <v>281</v>
      </c>
      <c r="H38" s="6" t="s">
        <v>110</v>
      </c>
      <c r="I38" s="6" t="s">
        <v>435</v>
      </c>
      <c r="J38" s="6" t="s">
        <v>131</v>
      </c>
      <c r="K38" s="6" t="s">
        <v>59</v>
      </c>
      <c r="L38" s="6" t="s">
        <v>436</v>
      </c>
      <c r="M38" s="6" t="s">
        <v>437</v>
      </c>
      <c r="N38" s="6" t="s">
        <v>438</v>
      </c>
      <c r="O38" s="6" t="s">
        <v>439</v>
      </c>
      <c r="P38" s="6" t="s">
        <v>128</v>
      </c>
      <c r="Q38" s="6" t="s">
        <v>135</v>
      </c>
      <c r="R38" s="6" t="s">
        <v>440</v>
      </c>
      <c r="S38" s="6" t="s">
        <v>441</v>
      </c>
      <c r="T38" s="6" t="s">
        <v>68</v>
      </c>
      <c r="U38" s="6" t="s">
        <v>139</v>
      </c>
      <c r="V38" s="6" t="s">
        <v>193</v>
      </c>
      <c r="W38" s="6" t="s">
        <v>221</v>
      </c>
      <c r="X38" s="6" t="s">
        <v>402</v>
      </c>
      <c r="Y38" s="6" t="s">
        <v>126</v>
      </c>
      <c r="Z38" s="6"/>
      <c r="AA38" s="7" t="s">
        <v>75</v>
      </c>
      <c r="AB38" s="7"/>
      <c r="AC38" s="7"/>
    </row>
    <row r="39" customFormat="false" ht="120" hidden="false" customHeight="true" outlineLevel="0" collapsed="false">
      <c r="A39" s="6" t="n">
        <v>38</v>
      </c>
      <c r="B39" s="6" t="s">
        <v>383</v>
      </c>
      <c r="C39" s="6" t="s">
        <v>51</v>
      </c>
      <c r="D39" s="6" t="s">
        <v>52</v>
      </c>
      <c r="E39" s="6" t="s">
        <v>53</v>
      </c>
      <c r="F39" s="6" t="s">
        <v>442</v>
      </c>
      <c r="G39" s="6" t="s">
        <v>236</v>
      </c>
      <c r="H39" s="6" t="s">
        <v>110</v>
      </c>
      <c r="I39" s="6" t="s">
        <v>185</v>
      </c>
      <c r="J39" s="6" t="s">
        <v>58</v>
      </c>
      <c r="K39" s="6" t="s">
        <v>59</v>
      </c>
      <c r="L39" s="6" t="s">
        <v>443</v>
      </c>
      <c r="M39" s="6" t="s">
        <v>444</v>
      </c>
      <c r="N39" s="6" t="s">
        <v>445</v>
      </c>
      <c r="O39" s="6" t="s">
        <v>446</v>
      </c>
      <c r="P39" s="6" t="s">
        <v>447</v>
      </c>
      <c r="Q39" s="6" t="s">
        <v>65</v>
      </c>
      <c r="R39" s="6" t="s">
        <v>448</v>
      </c>
      <c r="S39" s="6" t="s">
        <v>449</v>
      </c>
      <c r="T39" s="6" t="s">
        <v>68</v>
      </c>
      <c r="U39" s="6" t="s">
        <v>232</v>
      </c>
      <c r="V39" s="6" t="s">
        <v>221</v>
      </c>
      <c r="W39" s="6" t="s">
        <v>90</v>
      </c>
      <c r="X39" s="6" t="s">
        <v>326</v>
      </c>
      <c r="Y39" s="6" t="s">
        <v>126</v>
      </c>
      <c r="Z39" s="6"/>
      <c r="AA39" s="7" t="s">
        <v>75</v>
      </c>
      <c r="AB39" s="7"/>
      <c r="AC39" s="7"/>
    </row>
    <row r="40" customFormat="false" ht="120" hidden="false" customHeight="true" outlineLevel="0" collapsed="false">
      <c r="A40" s="6" t="n">
        <v>39</v>
      </c>
      <c r="B40" s="6" t="s">
        <v>383</v>
      </c>
      <c r="C40" s="6" t="s">
        <v>51</v>
      </c>
      <c r="D40" s="6" t="s">
        <v>91</v>
      </c>
      <c r="E40" s="6" t="s">
        <v>140</v>
      </c>
      <c r="F40" s="6" t="s">
        <v>450</v>
      </c>
      <c r="G40" s="6" t="s">
        <v>281</v>
      </c>
      <c r="H40" s="6" t="s">
        <v>110</v>
      </c>
      <c r="I40" s="6" t="s">
        <v>266</v>
      </c>
      <c r="J40" s="6" t="s">
        <v>131</v>
      </c>
      <c r="K40" s="6" t="s">
        <v>59</v>
      </c>
      <c r="L40" s="6" t="s">
        <v>451</v>
      </c>
      <c r="M40" s="6" t="s">
        <v>452</v>
      </c>
      <c r="N40" s="6" t="s">
        <v>453</v>
      </c>
      <c r="O40" s="6" t="s">
        <v>454</v>
      </c>
      <c r="P40" s="6" t="s">
        <v>140</v>
      </c>
      <c r="Q40" s="6" t="s">
        <v>146</v>
      </c>
      <c r="R40" s="6" t="s">
        <v>455</v>
      </c>
      <c r="S40" s="6" t="s">
        <v>456</v>
      </c>
      <c r="T40" s="6" t="s">
        <v>68</v>
      </c>
      <c r="U40" s="6" t="s">
        <v>150</v>
      </c>
      <c r="V40" s="6" t="s">
        <v>193</v>
      </c>
      <c r="W40" s="6" t="s">
        <v>90</v>
      </c>
      <c r="X40" s="6" t="s">
        <v>288</v>
      </c>
      <c r="Y40" s="6" t="s">
        <v>126</v>
      </c>
      <c r="Z40" s="6"/>
      <c r="AA40" s="7" t="s">
        <v>75</v>
      </c>
      <c r="AB40" s="7"/>
      <c r="AC40" s="7"/>
    </row>
    <row r="41" customFormat="false" ht="120" hidden="false" customHeight="true" outlineLevel="0" collapsed="false">
      <c r="A41" s="6" t="n">
        <v>40</v>
      </c>
      <c r="B41" s="6" t="s">
        <v>383</v>
      </c>
      <c r="C41" s="6" t="s">
        <v>51</v>
      </c>
      <c r="D41" s="6" t="s">
        <v>76</v>
      </c>
      <c r="E41" s="6" t="s">
        <v>53</v>
      </c>
      <c r="F41" s="6" t="s">
        <v>457</v>
      </c>
      <c r="G41" s="6" t="s">
        <v>77</v>
      </c>
      <c r="H41" s="6" t="s">
        <v>110</v>
      </c>
      <c r="I41" s="6" t="s">
        <v>185</v>
      </c>
      <c r="J41" s="6" t="s">
        <v>58</v>
      </c>
      <c r="K41" s="6" t="s">
        <v>59</v>
      </c>
      <c r="L41" s="6" t="s">
        <v>458</v>
      </c>
      <c r="M41" s="6" t="s">
        <v>459</v>
      </c>
      <c r="N41" s="6" t="s">
        <v>460</v>
      </c>
      <c r="O41" s="6" t="s">
        <v>461</v>
      </c>
      <c r="P41" s="6" t="s">
        <v>462</v>
      </c>
      <c r="Q41" s="6" t="s">
        <v>65</v>
      </c>
      <c r="R41" s="6" t="s">
        <v>463</v>
      </c>
      <c r="S41" s="6" t="s">
        <v>464</v>
      </c>
      <c r="T41" s="6" t="s">
        <v>68</v>
      </c>
      <c r="U41" s="6" t="s">
        <v>212</v>
      </c>
      <c r="V41" s="6" t="s">
        <v>221</v>
      </c>
      <c r="W41" s="6" t="s">
        <v>89</v>
      </c>
      <c r="X41" s="6" t="s">
        <v>465</v>
      </c>
      <c r="Y41" s="6" t="s">
        <v>174</v>
      </c>
      <c r="Z41" s="6"/>
      <c r="AA41" s="7" t="s">
        <v>75</v>
      </c>
      <c r="AB41" s="7"/>
      <c r="AC41" s="7"/>
    </row>
    <row r="42" customFormat="false" ht="120" hidden="false" customHeight="true" outlineLevel="0" collapsed="false">
      <c r="A42" s="6" t="n">
        <v>41</v>
      </c>
      <c r="B42" s="6" t="s">
        <v>383</v>
      </c>
      <c r="C42" s="6" t="s">
        <v>51</v>
      </c>
      <c r="D42" s="6" t="s">
        <v>91</v>
      </c>
      <c r="E42" s="6" t="s">
        <v>289</v>
      </c>
      <c r="F42" s="6" t="s">
        <v>466</v>
      </c>
      <c r="G42" s="6" t="s">
        <v>281</v>
      </c>
      <c r="H42" s="6" t="s">
        <v>110</v>
      </c>
      <c r="I42" s="6" t="s">
        <v>258</v>
      </c>
      <c r="J42" s="6" t="s">
        <v>292</v>
      </c>
      <c r="K42" s="6" t="s">
        <v>59</v>
      </c>
      <c r="L42" s="6" t="s">
        <v>467</v>
      </c>
      <c r="M42" s="6" t="s">
        <v>468</v>
      </c>
      <c r="N42" s="6" t="s">
        <v>469</v>
      </c>
      <c r="O42" s="6" t="s">
        <v>470</v>
      </c>
      <c r="P42" s="6" t="s">
        <v>289</v>
      </c>
      <c r="Q42" s="6" t="s">
        <v>297</v>
      </c>
      <c r="R42" s="6" t="s">
        <v>471</v>
      </c>
      <c r="S42" s="6" t="s">
        <v>472</v>
      </c>
      <c r="T42" s="6" t="s">
        <v>68</v>
      </c>
      <c r="U42" s="6" t="s">
        <v>300</v>
      </c>
      <c r="V42" s="6" t="s">
        <v>193</v>
      </c>
      <c r="W42" s="6" t="s">
        <v>90</v>
      </c>
      <c r="X42" s="6" t="s">
        <v>288</v>
      </c>
      <c r="Y42" s="6" t="s">
        <v>126</v>
      </c>
      <c r="Z42" s="6"/>
      <c r="AA42" s="7" t="s">
        <v>75</v>
      </c>
      <c r="AB42" s="7"/>
      <c r="AC42" s="7"/>
    </row>
    <row r="43" customFormat="false" ht="120" hidden="false" customHeight="true" outlineLevel="0" collapsed="false">
      <c r="A43" s="6" t="n">
        <v>42</v>
      </c>
      <c r="B43" s="6" t="s">
        <v>383</v>
      </c>
      <c r="C43" s="6" t="s">
        <v>51</v>
      </c>
      <c r="D43" s="6" t="s">
        <v>52</v>
      </c>
      <c r="E43" s="6" t="s">
        <v>53</v>
      </c>
      <c r="F43" s="6" t="s">
        <v>473</v>
      </c>
      <c r="G43" s="6" t="s">
        <v>281</v>
      </c>
      <c r="H43" s="6" t="s">
        <v>110</v>
      </c>
      <c r="I43" s="6" t="s">
        <v>473</v>
      </c>
      <c r="J43" s="6" t="s">
        <v>58</v>
      </c>
      <c r="K43" s="6" t="s">
        <v>474</v>
      </c>
      <c r="L43" s="6" t="s">
        <v>475</v>
      </c>
      <c r="M43" s="6" t="s">
        <v>476</v>
      </c>
      <c r="N43" s="6" t="s">
        <v>477</v>
      </c>
      <c r="O43" s="6" t="s">
        <v>478</v>
      </c>
      <c r="P43" s="6" t="s">
        <v>479</v>
      </c>
      <c r="Q43" s="6" t="s">
        <v>65</v>
      </c>
      <c r="R43" s="6" t="s">
        <v>480</v>
      </c>
      <c r="S43" s="6" t="s">
        <v>481</v>
      </c>
      <c r="T43" s="6" t="s">
        <v>68</v>
      </c>
      <c r="U43" s="6" t="s">
        <v>102</v>
      </c>
      <c r="V43" s="6" t="s">
        <v>193</v>
      </c>
      <c r="W43" s="6" t="s">
        <v>71</v>
      </c>
      <c r="X43" s="6" t="s">
        <v>194</v>
      </c>
      <c r="Y43" s="6" t="s">
        <v>126</v>
      </c>
      <c r="Z43" s="6"/>
      <c r="AA43" s="7" t="s">
        <v>75</v>
      </c>
      <c r="AB43" s="7"/>
      <c r="AC43" s="7"/>
    </row>
    <row r="44" customFormat="false" ht="120" hidden="false" customHeight="true" outlineLevel="0" collapsed="false">
      <c r="A44" s="6" t="n">
        <v>43</v>
      </c>
      <c r="B44" s="6" t="s">
        <v>383</v>
      </c>
      <c r="C44" s="6" t="s">
        <v>51</v>
      </c>
      <c r="D44" s="6" t="s">
        <v>76</v>
      </c>
      <c r="E44" s="6" t="s">
        <v>53</v>
      </c>
      <c r="F44" s="6" t="s">
        <v>482</v>
      </c>
      <c r="G44" s="6" t="s">
        <v>77</v>
      </c>
      <c r="H44" s="6" t="s">
        <v>110</v>
      </c>
      <c r="I44" s="6" t="s">
        <v>185</v>
      </c>
      <c r="J44" s="6" t="s">
        <v>58</v>
      </c>
      <c r="K44" s="6" t="s">
        <v>59</v>
      </c>
      <c r="L44" s="6" t="s">
        <v>483</v>
      </c>
      <c r="M44" s="6" t="s">
        <v>484</v>
      </c>
      <c r="N44" s="6" t="s">
        <v>485</v>
      </c>
      <c r="O44" s="6" t="s">
        <v>486</v>
      </c>
      <c r="P44" s="6" t="s">
        <v>487</v>
      </c>
      <c r="Q44" s="6" t="s">
        <v>65</v>
      </c>
      <c r="R44" s="6" t="s">
        <v>488</v>
      </c>
      <c r="S44" s="6" t="s">
        <v>489</v>
      </c>
      <c r="T44" s="6" t="s">
        <v>68</v>
      </c>
      <c r="U44" s="6" t="s">
        <v>212</v>
      </c>
      <c r="V44" s="6" t="s">
        <v>90</v>
      </c>
      <c r="W44" s="6" t="s">
        <v>193</v>
      </c>
      <c r="X44" s="6" t="s">
        <v>233</v>
      </c>
      <c r="Y44" s="6" t="s">
        <v>174</v>
      </c>
      <c r="Z44" s="6"/>
      <c r="AA44" s="7" t="s">
        <v>75</v>
      </c>
      <c r="AB44" s="7"/>
      <c r="AC44" s="7"/>
    </row>
    <row r="45" customFormat="false" ht="120" hidden="false" customHeight="true" outlineLevel="0" collapsed="false">
      <c r="A45" s="6" t="n">
        <v>44</v>
      </c>
      <c r="B45" s="6" t="s">
        <v>383</v>
      </c>
      <c r="C45" s="6" t="s">
        <v>51</v>
      </c>
      <c r="D45" s="6" t="s">
        <v>91</v>
      </c>
      <c r="E45" s="6" t="s">
        <v>151</v>
      </c>
      <c r="F45" s="6" t="s">
        <v>490</v>
      </c>
      <c r="G45" s="6" t="s">
        <v>281</v>
      </c>
      <c r="H45" s="6" t="s">
        <v>110</v>
      </c>
      <c r="I45" s="6" t="s">
        <v>312</v>
      </c>
      <c r="J45" s="6" t="s">
        <v>154</v>
      </c>
      <c r="K45" s="6" t="s">
        <v>59</v>
      </c>
      <c r="L45" s="6" t="s">
        <v>491</v>
      </c>
      <c r="M45" s="6" t="s">
        <v>492</v>
      </c>
      <c r="N45" s="6" t="s">
        <v>493</v>
      </c>
      <c r="O45" s="6" t="s">
        <v>494</v>
      </c>
      <c r="P45" s="6" t="s">
        <v>158</v>
      </c>
      <c r="Q45" s="6" t="s">
        <v>159</v>
      </c>
      <c r="R45" s="6" t="s">
        <v>495</v>
      </c>
      <c r="S45" s="6" t="s">
        <v>496</v>
      </c>
      <c r="T45" s="6" t="s">
        <v>68</v>
      </c>
      <c r="U45" s="6" t="s">
        <v>163</v>
      </c>
      <c r="V45" s="6" t="s">
        <v>193</v>
      </c>
      <c r="W45" s="6" t="s">
        <v>221</v>
      </c>
      <c r="X45" s="6" t="s">
        <v>402</v>
      </c>
      <c r="Y45" s="6" t="s">
        <v>126</v>
      </c>
      <c r="Z45" s="6"/>
      <c r="AA45" s="7" t="s">
        <v>75</v>
      </c>
      <c r="AB45" s="7"/>
      <c r="AC45" s="7"/>
    </row>
    <row r="46" customFormat="false" ht="120" hidden="false" customHeight="true" outlineLevel="0" collapsed="false">
      <c r="A46" s="6" t="n">
        <v>45</v>
      </c>
      <c r="B46" s="6" t="s">
        <v>383</v>
      </c>
      <c r="C46" s="6" t="s">
        <v>51</v>
      </c>
      <c r="D46" s="6" t="s">
        <v>234</v>
      </c>
      <c r="E46" s="6" t="s">
        <v>384</v>
      </c>
      <c r="F46" s="6" t="s">
        <v>497</v>
      </c>
      <c r="G46" s="6" t="s">
        <v>236</v>
      </c>
      <c r="H46" s="6" t="s">
        <v>110</v>
      </c>
      <c r="I46" s="6" t="s">
        <v>185</v>
      </c>
      <c r="J46" s="6" t="s">
        <v>58</v>
      </c>
      <c r="K46" s="6" t="s">
        <v>59</v>
      </c>
      <c r="L46" s="6" t="s">
        <v>498</v>
      </c>
      <c r="M46" s="6" t="s">
        <v>499</v>
      </c>
      <c r="N46" s="6" t="s">
        <v>500</v>
      </c>
      <c r="O46" s="6" t="s">
        <v>501</v>
      </c>
      <c r="P46" s="6" t="s">
        <v>390</v>
      </c>
      <c r="Q46" s="6" t="s">
        <v>99</v>
      </c>
      <c r="R46" s="6" t="s">
        <v>502</v>
      </c>
      <c r="S46" s="6" t="s">
        <v>503</v>
      </c>
      <c r="T46" s="6" t="s">
        <v>68</v>
      </c>
      <c r="U46" s="6" t="s">
        <v>393</v>
      </c>
      <c r="V46" s="6" t="s">
        <v>244</v>
      </c>
      <c r="W46" s="6" t="s">
        <v>193</v>
      </c>
      <c r="X46" s="6" t="s">
        <v>504</v>
      </c>
      <c r="Y46" s="6" t="s">
        <v>73</v>
      </c>
      <c r="Z46" s="6" t="s">
        <v>505</v>
      </c>
      <c r="AA46" s="7" t="s">
        <v>75</v>
      </c>
      <c r="AB46" s="7"/>
      <c r="AC46" s="7"/>
    </row>
    <row r="47" customFormat="false" ht="120" hidden="false" customHeight="true" outlineLevel="0" collapsed="false">
      <c r="A47" s="6" t="n">
        <v>46</v>
      </c>
      <c r="B47" s="6" t="s">
        <v>506</v>
      </c>
      <c r="C47" s="6" t="s">
        <v>51</v>
      </c>
      <c r="D47" s="6" t="s">
        <v>76</v>
      </c>
      <c r="E47" s="6" t="s">
        <v>53</v>
      </c>
      <c r="F47" s="6" t="s">
        <v>507</v>
      </c>
      <c r="G47" s="6" t="s">
        <v>109</v>
      </c>
      <c r="H47" s="6" t="s">
        <v>110</v>
      </c>
      <c r="I47" s="6" t="s">
        <v>185</v>
      </c>
      <c r="J47" s="6" t="s">
        <v>58</v>
      </c>
      <c r="K47" s="6" t="s">
        <v>59</v>
      </c>
      <c r="L47" s="6" t="s">
        <v>508</v>
      </c>
      <c r="M47" s="6" t="s">
        <v>509</v>
      </c>
      <c r="N47" s="6" t="s">
        <v>510</v>
      </c>
      <c r="O47" s="6" t="s">
        <v>378</v>
      </c>
      <c r="P47" s="6" t="s">
        <v>229</v>
      </c>
      <c r="Q47" s="6" t="s">
        <v>99</v>
      </c>
      <c r="R47" s="6" t="s">
        <v>511</v>
      </c>
      <c r="S47" s="6" t="s">
        <v>512</v>
      </c>
      <c r="T47" s="6" t="s">
        <v>68</v>
      </c>
      <c r="U47" s="6" t="s">
        <v>232</v>
      </c>
      <c r="V47" s="6" t="s">
        <v>381</v>
      </c>
      <c r="W47" s="6" t="s">
        <v>301</v>
      </c>
      <c r="X47" s="6" t="s">
        <v>513</v>
      </c>
      <c r="Y47" s="6" t="s">
        <v>126</v>
      </c>
      <c r="Z47" s="6"/>
      <c r="AA47" s="7" t="s">
        <v>75</v>
      </c>
      <c r="AB47" s="7"/>
      <c r="AC47" s="7"/>
    </row>
    <row r="48" customFormat="false" ht="120" hidden="false" customHeight="true" outlineLevel="0" collapsed="false">
      <c r="A48" s="6" t="n">
        <v>47</v>
      </c>
      <c r="B48" s="6" t="s">
        <v>506</v>
      </c>
      <c r="C48" s="6" t="s">
        <v>51</v>
      </c>
      <c r="D48" s="6" t="s">
        <v>52</v>
      </c>
      <c r="E48" s="6" t="s">
        <v>107</v>
      </c>
      <c r="F48" s="6" t="s">
        <v>514</v>
      </c>
      <c r="G48" s="6" t="s">
        <v>109</v>
      </c>
      <c r="H48" s="6" t="s">
        <v>110</v>
      </c>
      <c r="I48" s="6" t="s">
        <v>258</v>
      </c>
      <c r="J48" s="6" t="s">
        <v>154</v>
      </c>
      <c r="K48" s="6" t="s">
        <v>59</v>
      </c>
      <c r="L48" s="6" t="s">
        <v>515</v>
      </c>
      <c r="M48" s="6" t="s">
        <v>516</v>
      </c>
      <c r="N48" s="6" t="s">
        <v>517</v>
      </c>
      <c r="O48" s="6" t="s">
        <v>518</v>
      </c>
      <c r="P48" s="6" t="s">
        <v>107</v>
      </c>
      <c r="Q48" s="6" t="s">
        <v>118</v>
      </c>
      <c r="R48" s="6" t="s">
        <v>519</v>
      </c>
      <c r="S48" s="6" t="s">
        <v>520</v>
      </c>
      <c r="T48" s="6" t="s">
        <v>68</v>
      </c>
      <c r="U48" s="6" t="s">
        <v>122</v>
      </c>
      <c r="V48" s="6" t="s">
        <v>521</v>
      </c>
      <c r="W48" s="6" t="s">
        <v>301</v>
      </c>
      <c r="X48" s="6" t="s">
        <v>522</v>
      </c>
      <c r="Y48" s="6" t="s">
        <v>126</v>
      </c>
      <c r="Z48" s="6"/>
      <c r="AA48" s="7" t="s">
        <v>75</v>
      </c>
      <c r="AB48" s="7"/>
      <c r="AC48" s="7"/>
    </row>
    <row r="49" customFormat="false" ht="120" hidden="false" customHeight="true" outlineLevel="0" collapsed="false">
      <c r="A49" s="6" t="n">
        <v>48</v>
      </c>
      <c r="B49" s="6" t="s">
        <v>506</v>
      </c>
      <c r="C49" s="6" t="s">
        <v>51</v>
      </c>
      <c r="D49" s="6" t="s">
        <v>91</v>
      </c>
      <c r="E49" s="6" t="s">
        <v>151</v>
      </c>
      <c r="F49" s="6" t="s">
        <v>523</v>
      </c>
      <c r="G49" s="6" t="s">
        <v>109</v>
      </c>
      <c r="H49" s="6" t="s">
        <v>110</v>
      </c>
      <c r="I49" s="6" t="s">
        <v>312</v>
      </c>
      <c r="J49" s="6" t="s">
        <v>154</v>
      </c>
      <c r="K49" s="6" t="s">
        <v>59</v>
      </c>
      <c r="L49" s="6" t="s">
        <v>524</v>
      </c>
      <c r="M49" s="6" t="s">
        <v>525</v>
      </c>
      <c r="N49" s="6" t="s">
        <v>526</v>
      </c>
      <c r="O49" s="6" t="s">
        <v>527</v>
      </c>
      <c r="P49" s="6" t="s">
        <v>158</v>
      </c>
      <c r="Q49" s="6" t="s">
        <v>159</v>
      </c>
      <c r="R49" s="6" t="s">
        <v>528</v>
      </c>
      <c r="S49" s="6" t="s">
        <v>529</v>
      </c>
      <c r="T49" s="6" t="s">
        <v>68</v>
      </c>
      <c r="U49" s="6" t="s">
        <v>163</v>
      </c>
      <c r="V49" s="6" t="s">
        <v>521</v>
      </c>
      <c r="W49" s="6" t="s">
        <v>301</v>
      </c>
      <c r="X49" s="6" t="s">
        <v>522</v>
      </c>
      <c r="Y49" s="6" t="s">
        <v>126</v>
      </c>
      <c r="Z49" s="6"/>
      <c r="AA49" s="7" t="s">
        <v>75</v>
      </c>
      <c r="AB49" s="7"/>
      <c r="AC49" s="7"/>
    </row>
    <row r="50" customFormat="false" ht="120" hidden="false" customHeight="true" outlineLevel="0" collapsed="false">
      <c r="A50" s="6" t="n">
        <v>49</v>
      </c>
      <c r="B50" s="6" t="s">
        <v>506</v>
      </c>
      <c r="C50" s="6" t="s">
        <v>51</v>
      </c>
      <c r="D50" s="6" t="s">
        <v>76</v>
      </c>
      <c r="E50" s="6" t="s">
        <v>53</v>
      </c>
      <c r="F50" s="6" t="s">
        <v>530</v>
      </c>
      <c r="G50" s="6" t="s">
        <v>109</v>
      </c>
      <c r="H50" s="6" t="s">
        <v>110</v>
      </c>
      <c r="I50" s="6" t="s">
        <v>185</v>
      </c>
      <c r="J50" s="6" t="s">
        <v>58</v>
      </c>
      <c r="K50" s="6" t="s">
        <v>59</v>
      </c>
      <c r="L50" s="6" t="s">
        <v>531</v>
      </c>
      <c r="M50" s="6" t="s">
        <v>532</v>
      </c>
      <c r="N50" s="6" t="s">
        <v>533</v>
      </c>
      <c r="O50" s="6" t="s">
        <v>534</v>
      </c>
      <c r="P50" s="6" t="s">
        <v>535</v>
      </c>
      <c r="Q50" s="6" t="s">
        <v>65</v>
      </c>
      <c r="R50" s="6" t="s">
        <v>536</v>
      </c>
      <c r="S50" s="6" t="s">
        <v>537</v>
      </c>
      <c r="T50" s="6" t="s">
        <v>68</v>
      </c>
      <c r="U50" s="6" t="s">
        <v>88</v>
      </c>
      <c r="V50" s="6" t="s">
        <v>301</v>
      </c>
      <c r="W50" s="6" t="s">
        <v>381</v>
      </c>
      <c r="X50" s="6" t="s">
        <v>125</v>
      </c>
      <c r="Y50" s="6" t="s">
        <v>126</v>
      </c>
      <c r="Z50" s="6"/>
      <c r="AA50" s="7" t="s">
        <v>75</v>
      </c>
      <c r="AB50" s="7"/>
      <c r="AC50" s="7"/>
    </row>
    <row r="51" customFormat="false" ht="120" hidden="false" customHeight="true" outlineLevel="0" collapsed="false">
      <c r="A51" s="6" t="n">
        <v>50</v>
      </c>
      <c r="B51" s="6" t="s">
        <v>506</v>
      </c>
      <c r="C51" s="6" t="s">
        <v>51</v>
      </c>
      <c r="D51" s="6" t="s">
        <v>91</v>
      </c>
      <c r="E51" s="6" t="s">
        <v>140</v>
      </c>
      <c r="F51" s="6" t="s">
        <v>538</v>
      </c>
      <c r="G51" s="6" t="s">
        <v>109</v>
      </c>
      <c r="H51" s="6" t="s">
        <v>110</v>
      </c>
      <c r="I51" s="6" t="s">
        <v>266</v>
      </c>
      <c r="J51" s="6" t="s">
        <v>131</v>
      </c>
      <c r="K51" s="6" t="s">
        <v>59</v>
      </c>
      <c r="L51" s="6" t="s">
        <v>539</v>
      </c>
      <c r="M51" s="6" t="s">
        <v>540</v>
      </c>
      <c r="N51" s="6" t="s">
        <v>541</v>
      </c>
      <c r="O51" s="6" t="s">
        <v>542</v>
      </c>
      <c r="P51" s="6" t="s">
        <v>140</v>
      </c>
      <c r="Q51" s="6" t="s">
        <v>146</v>
      </c>
      <c r="R51" s="6" t="s">
        <v>543</v>
      </c>
      <c r="S51" s="6" t="s">
        <v>544</v>
      </c>
      <c r="T51" s="6" t="s">
        <v>68</v>
      </c>
      <c r="U51" s="6" t="s">
        <v>150</v>
      </c>
      <c r="V51" s="6" t="s">
        <v>521</v>
      </c>
      <c r="W51" s="6" t="s">
        <v>301</v>
      </c>
      <c r="X51" s="6" t="s">
        <v>522</v>
      </c>
      <c r="Y51" s="6" t="s">
        <v>126</v>
      </c>
      <c r="Z51" s="6"/>
      <c r="AA51" s="7" t="s">
        <v>75</v>
      </c>
      <c r="AB51" s="7"/>
      <c r="AC51" s="7"/>
    </row>
    <row r="52" customFormat="false" ht="120" hidden="false" customHeight="true" outlineLevel="0" collapsed="false">
      <c r="A52" s="6" t="n">
        <v>51</v>
      </c>
      <c r="B52" s="6" t="s">
        <v>506</v>
      </c>
      <c r="C52" s="6" t="s">
        <v>51</v>
      </c>
      <c r="D52" s="6" t="s">
        <v>52</v>
      </c>
      <c r="E52" s="6" t="s">
        <v>53</v>
      </c>
      <c r="F52" s="6" t="s">
        <v>545</v>
      </c>
      <c r="G52" s="6" t="s">
        <v>109</v>
      </c>
      <c r="H52" s="6" t="s">
        <v>110</v>
      </c>
      <c r="I52" s="6" t="s">
        <v>185</v>
      </c>
      <c r="J52" s="6" t="s">
        <v>58</v>
      </c>
      <c r="K52" s="6" t="s">
        <v>59</v>
      </c>
      <c r="L52" s="6" t="s">
        <v>546</v>
      </c>
      <c r="M52" s="6" t="s">
        <v>547</v>
      </c>
      <c r="N52" s="6" t="s">
        <v>548</v>
      </c>
      <c r="O52" s="6" t="s">
        <v>549</v>
      </c>
      <c r="P52" s="6" t="s">
        <v>98</v>
      </c>
      <c r="Q52" s="6" t="s">
        <v>99</v>
      </c>
      <c r="R52" s="6" t="s">
        <v>550</v>
      </c>
      <c r="S52" s="6" t="s">
        <v>551</v>
      </c>
      <c r="T52" s="6" t="s">
        <v>68</v>
      </c>
      <c r="U52" s="6" t="s">
        <v>232</v>
      </c>
      <c r="V52" s="6" t="s">
        <v>521</v>
      </c>
      <c r="W52" s="6" t="s">
        <v>90</v>
      </c>
      <c r="X52" s="6" t="s">
        <v>522</v>
      </c>
      <c r="Y52" s="6" t="s">
        <v>126</v>
      </c>
      <c r="Z52" s="6"/>
      <c r="AA52" s="7" t="s">
        <v>75</v>
      </c>
      <c r="AB52" s="7"/>
      <c r="AC52" s="7"/>
    </row>
    <row r="53" customFormat="false" ht="120" hidden="false" customHeight="true" outlineLevel="0" collapsed="false">
      <c r="A53" s="6" t="n">
        <v>52</v>
      </c>
      <c r="B53" s="6" t="s">
        <v>506</v>
      </c>
      <c r="C53" s="6" t="s">
        <v>51</v>
      </c>
      <c r="D53" s="6" t="s">
        <v>76</v>
      </c>
      <c r="E53" s="6" t="s">
        <v>107</v>
      </c>
      <c r="F53" s="6" t="s">
        <v>108</v>
      </c>
      <c r="G53" s="6" t="s">
        <v>109</v>
      </c>
      <c r="H53" s="6" t="s">
        <v>110</v>
      </c>
      <c r="I53" s="6" t="s">
        <v>344</v>
      </c>
      <c r="J53" s="6" t="s">
        <v>552</v>
      </c>
      <c r="K53" s="6" t="s">
        <v>59</v>
      </c>
      <c r="L53" s="6" t="s">
        <v>553</v>
      </c>
      <c r="M53" s="6" t="s">
        <v>554</v>
      </c>
      <c r="N53" s="6" t="s">
        <v>555</v>
      </c>
      <c r="O53" s="6" t="s">
        <v>556</v>
      </c>
      <c r="P53" s="6" t="s">
        <v>107</v>
      </c>
      <c r="Q53" s="6" t="s">
        <v>118</v>
      </c>
      <c r="R53" s="6" t="s">
        <v>557</v>
      </c>
      <c r="S53" s="6" t="s">
        <v>558</v>
      </c>
      <c r="T53" s="6" t="s">
        <v>68</v>
      </c>
      <c r="U53" s="6" t="s">
        <v>122</v>
      </c>
      <c r="V53" s="6" t="s">
        <v>301</v>
      </c>
      <c r="W53" s="6" t="s">
        <v>221</v>
      </c>
      <c r="X53" s="6" t="s">
        <v>559</v>
      </c>
      <c r="Y53" s="6" t="s">
        <v>126</v>
      </c>
      <c r="Z53" s="6"/>
      <c r="AA53" s="7" t="s">
        <v>75</v>
      </c>
      <c r="AB53" s="7"/>
      <c r="AC53" s="7"/>
    </row>
    <row r="54" customFormat="false" ht="120" hidden="false" customHeight="true" outlineLevel="0" collapsed="false">
      <c r="A54" s="6" t="n">
        <v>53</v>
      </c>
      <c r="B54" s="6" t="s">
        <v>506</v>
      </c>
      <c r="C54" s="6" t="s">
        <v>51</v>
      </c>
      <c r="D54" s="6" t="s">
        <v>91</v>
      </c>
      <c r="E54" s="6" t="s">
        <v>53</v>
      </c>
      <c r="F54" s="6" t="s">
        <v>560</v>
      </c>
      <c r="G54" s="6" t="s">
        <v>109</v>
      </c>
      <c r="H54" s="6" t="s">
        <v>110</v>
      </c>
      <c r="I54" s="6" t="s">
        <v>185</v>
      </c>
      <c r="J54" s="6" t="s">
        <v>58</v>
      </c>
      <c r="K54" s="6" t="s">
        <v>59</v>
      </c>
      <c r="L54" s="6" t="s">
        <v>561</v>
      </c>
      <c r="M54" s="6" t="s">
        <v>562</v>
      </c>
      <c r="N54" s="6" t="s">
        <v>563</v>
      </c>
      <c r="O54" s="6" t="s">
        <v>564</v>
      </c>
      <c r="P54" s="6" t="s">
        <v>565</v>
      </c>
      <c r="Q54" s="6" t="s">
        <v>65</v>
      </c>
      <c r="R54" s="6" t="s">
        <v>566</v>
      </c>
      <c r="S54" s="6" t="s">
        <v>567</v>
      </c>
      <c r="T54" s="6" t="s">
        <v>68</v>
      </c>
      <c r="U54" s="6" t="s">
        <v>393</v>
      </c>
      <c r="V54" s="6" t="s">
        <v>521</v>
      </c>
      <c r="W54" s="6" t="s">
        <v>90</v>
      </c>
      <c r="X54" s="6" t="s">
        <v>522</v>
      </c>
      <c r="Y54" s="6" t="s">
        <v>126</v>
      </c>
      <c r="Z54" s="6"/>
      <c r="AA54" s="7" t="s">
        <v>75</v>
      </c>
      <c r="AB54" s="7"/>
      <c r="AC54" s="7"/>
    </row>
    <row r="55" customFormat="false" ht="120" hidden="false" customHeight="true" outlineLevel="0" collapsed="false">
      <c r="A55" s="6" t="n">
        <v>54</v>
      </c>
      <c r="B55" s="6" t="s">
        <v>506</v>
      </c>
      <c r="C55" s="6" t="s">
        <v>51</v>
      </c>
      <c r="D55" s="6" t="s">
        <v>52</v>
      </c>
      <c r="E55" s="6" t="s">
        <v>289</v>
      </c>
      <c r="F55" s="6" t="s">
        <v>568</v>
      </c>
      <c r="G55" s="6" t="s">
        <v>109</v>
      </c>
      <c r="H55" s="6" t="s">
        <v>110</v>
      </c>
      <c r="I55" s="6" t="s">
        <v>304</v>
      </c>
      <c r="J55" s="6" t="s">
        <v>305</v>
      </c>
      <c r="K55" s="6" t="s">
        <v>59</v>
      </c>
      <c r="L55" s="6" t="s">
        <v>569</v>
      </c>
      <c r="M55" s="6" t="s">
        <v>570</v>
      </c>
      <c r="N55" s="6" t="s">
        <v>571</v>
      </c>
      <c r="O55" s="6" t="s">
        <v>572</v>
      </c>
      <c r="P55" s="6" t="s">
        <v>289</v>
      </c>
      <c r="Q55" s="6" t="s">
        <v>297</v>
      </c>
      <c r="R55" s="6" t="s">
        <v>573</v>
      </c>
      <c r="S55" s="6" t="s">
        <v>574</v>
      </c>
      <c r="T55" s="6" t="s">
        <v>68</v>
      </c>
      <c r="U55" s="6" t="s">
        <v>300</v>
      </c>
      <c r="V55" s="6" t="s">
        <v>301</v>
      </c>
      <c r="W55" s="6" t="s">
        <v>221</v>
      </c>
      <c r="X55" s="6" t="s">
        <v>559</v>
      </c>
      <c r="Y55" s="6" t="s">
        <v>126</v>
      </c>
      <c r="Z55" s="6"/>
      <c r="AA55" s="7" t="s">
        <v>75</v>
      </c>
      <c r="AB55" s="7"/>
      <c r="AC55" s="7"/>
    </row>
    <row r="56" customFormat="false" ht="120" hidden="false" customHeight="true" outlineLevel="0" collapsed="false">
      <c r="A56" s="6" t="n">
        <v>55</v>
      </c>
      <c r="B56" s="6" t="s">
        <v>506</v>
      </c>
      <c r="C56" s="6" t="s">
        <v>51</v>
      </c>
      <c r="D56" s="6" t="s">
        <v>76</v>
      </c>
      <c r="E56" s="6" t="s">
        <v>53</v>
      </c>
      <c r="F56" s="6" t="s">
        <v>575</v>
      </c>
      <c r="G56" s="6" t="s">
        <v>576</v>
      </c>
      <c r="H56" s="6" t="s">
        <v>110</v>
      </c>
      <c r="I56" s="6" t="s">
        <v>185</v>
      </c>
      <c r="J56" s="6" t="s">
        <v>58</v>
      </c>
      <c r="K56" s="6" t="s">
        <v>59</v>
      </c>
      <c r="L56" s="6" t="s">
        <v>577</v>
      </c>
      <c r="M56" s="6" t="s">
        <v>578</v>
      </c>
      <c r="N56" s="6" t="s">
        <v>579</v>
      </c>
      <c r="O56" s="6" t="s">
        <v>580</v>
      </c>
      <c r="P56" s="6" t="s">
        <v>430</v>
      </c>
      <c r="Q56" s="6" t="s">
        <v>65</v>
      </c>
      <c r="R56" s="6" t="s">
        <v>581</v>
      </c>
      <c r="S56" s="6" t="s">
        <v>582</v>
      </c>
      <c r="T56" s="6" t="s">
        <v>68</v>
      </c>
      <c r="U56" s="6" t="s">
        <v>433</v>
      </c>
      <c r="V56" s="6" t="s">
        <v>90</v>
      </c>
      <c r="W56" s="6" t="s">
        <v>193</v>
      </c>
      <c r="X56" s="6" t="s">
        <v>233</v>
      </c>
      <c r="Y56" s="6" t="s">
        <v>73</v>
      </c>
      <c r="Z56" s="6"/>
      <c r="AA56" s="7" t="s">
        <v>75</v>
      </c>
      <c r="AB56" s="7"/>
      <c r="AC56" s="7"/>
    </row>
    <row r="57" customFormat="false" ht="120" hidden="false" customHeight="true" outlineLevel="0" collapsed="false">
      <c r="A57" s="6" t="n">
        <v>56</v>
      </c>
      <c r="B57" s="6" t="s">
        <v>506</v>
      </c>
      <c r="C57" s="6" t="s">
        <v>51</v>
      </c>
      <c r="D57" s="6" t="s">
        <v>91</v>
      </c>
      <c r="E57" s="6" t="s">
        <v>107</v>
      </c>
      <c r="F57" s="6" t="s">
        <v>583</v>
      </c>
      <c r="G57" s="6" t="s">
        <v>109</v>
      </c>
      <c r="H57" s="6" t="s">
        <v>110</v>
      </c>
      <c r="I57" s="6" t="s">
        <v>258</v>
      </c>
      <c r="J57" s="6" t="s">
        <v>154</v>
      </c>
      <c r="K57" s="6" t="s">
        <v>59</v>
      </c>
      <c r="L57" s="6" t="s">
        <v>584</v>
      </c>
      <c r="M57" s="6" t="s">
        <v>585</v>
      </c>
      <c r="N57" s="6" t="s">
        <v>586</v>
      </c>
      <c r="O57" s="6" t="s">
        <v>587</v>
      </c>
      <c r="P57" s="6" t="s">
        <v>588</v>
      </c>
      <c r="Q57" s="6" t="s">
        <v>118</v>
      </c>
      <c r="R57" s="6" t="s">
        <v>589</v>
      </c>
      <c r="S57" s="6" t="s">
        <v>590</v>
      </c>
      <c r="T57" s="6" t="s">
        <v>68</v>
      </c>
      <c r="U57" s="6" t="s">
        <v>122</v>
      </c>
      <c r="V57" s="6" t="s">
        <v>521</v>
      </c>
      <c r="W57" s="6" t="s">
        <v>301</v>
      </c>
      <c r="X57" s="6" t="s">
        <v>522</v>
      </c>
      <c r="Y57" s="6" t="s">
        <v>126</v>
      </c>
      <c r="Z57" s="6"/>
      <c r="AA57" s="7" t="s">
        <v>75</v>
      </c>
      <c r="AB57" s="7"/>
      <c r="AC57" s="7"/>
    </row>
    <row r="58" customFormat="false" ht="120" hidden="false" customHeight="true" outlineLevel="0" collapsed="false">
      <c r="A58" s="6" t="n">
        <v>57</v>
      </c>
      <c r="B58" s="6" t="s">
        <v>506</v>
      </c>
      <c r="C58" s="6" t="s">
        <v>51</v>
      </c>
      <c r="D58" s="6" t="s">
        <v>52</v>
      </c>
      <c r="E58" s="6" t="s">
        <v>128</v>
      </c>
      <c r="F58" s="6" t="s">
        <v>129</v>
      </c>
      <c r="G58" s="6" t="s">
        <v>109</v>
      </c>
      <c r="H58" s="6" t="s">
        <v>110</v>
      </c>
      <c r="I58" s="6" t="s">
        <v>266</v>
      </c>
      <c r="J58" s="6" t="s">
        <v>131</v>
      </c>
      <c r="K58" s="6" t="s">
        <v>59</v>
      </c>
      <c r="L58" s="6" t="s">
        <v>591</v>
      </c>
      <c r="M58" s="6" t="s">
        <v>592</v>
      </c>
      <c r="N58" s="6" t="s">
        <v>593</v>
      </c>
      <c r="O58" s="6" t="s">
        <v>534</v>
      </c>
      <c r="P58" s="6" t="s">
        <v>128</v>
      </c>
      <c r="Q58" s="6" t="s">
        <v>135</v>
      </c>
      <c r="R58" s="6" t="s">
        <v>594</v>
      </c>
      <c r="S58" s="6" t="s">
        <v>595</v>
      </c>
      <c r="T58" s="6" t="s">
        <v>68</v>
      </c>
      <c r="U58" s="6" t="s">
        <v>139</v>
      </c>
      <c r="V58" s="6" t="s">
        <v>301</v>
      </c>
      <c r="W58" s="6" t="s">
        <v>193</v>
      </c>
      <c r="X58" s="6" t="s">
        <v>125</v>
      </c>
      <c r="Y58" s="6" t="s">
        <v>126</v>
      </c>
      <c r="Z58" s="6"/>
      <c r="AA58" s="7" t="s">
        <v>75</v>
      </c>
      <c r="AB58" s="7"/>
      <c r="AC58" s="7"/>
    </row>
    <row r="59" customFormat="false" ht="120" hidden="false" customHeight="true" outlineLevel="0" collapsed="false">
      <c r="A59" s="6" t="n">
        <v>58</v>
      </c>
      <c r="B59" s="6" t="s">
        <v>506</v>
      </c>
      <c r="C59" s="6" t="s">
        <v>51</v>
      </c>
      <c r="D59" s="6" t="s">
        <v>76</v>
      </c>
      <c r="E59" s="6" t="s">
        <v>53</v>
      </c>
      <c r="F59" s="6" t="s">
        <v>596</v>
      </c>
      <c r="G59" s="6" t="s">
        <v>109</v>
      </c>
      <c r="H59" s="6" t="s">
        <v>110</v>
      </c>
      <c r="I59" s="6" t="s">
        <v>344</v>
      </c>
      <c r="J59" s="6" t="s">
        <v>345</v>
      </c>
      <c r="K59" s="6" t="s">
        <v>59</v>
      </c>
      <c r="L59" s="6" t="s">
        <v>597</v>
      </c>
      <c r="M59" s="6" t="s">
        <v>598</v>
      </c>
      <c r="N59" s="6" t="s">
        <v>599</v>
      </c>
      <c r="O59" s="6" t="s">
        <v>600</v>
      </c>
      <c r="P59" s="6" t="s">
        <v>601</v>
      </c>
      <c r="Q59" s="6" t="s">
        <v>99</v>
      </c>
      <c r="R59" s="6" t="s">
        <v>602</v>
      </c>
      <c r="S59" s="6" t="s">
        <v>603</v>
      </c>
      <c r="T59" s="6" t="s">
        <v>68</v>
      </c>
      <c r="U59" s="6" t="s">
        <v>232</v>
      </c>
      <c r="V59" s="6" t="s">
        <v>521</v>
      </c>
      <c r="W59" s="6" t="s">
        <v>301</v>
      </c>
      <c r="X59" s="6" t="s">
        <v>522</v>
      </c>
      <c r="Y59" s="6" t="s">
        <v>126</v>
      </c>
      <c r="Z59" s="6"/>
      <c r="AA59" s="7" t="s">
        <v>75</v>
      </c>
      <c r="AB59" s="7"/>
      <c r="AC59" s="7"/>
    </row>
    <row r="60" customFormat="false" ht="120" hidden="false" customHeight="true" outlineLevel="0" collapsed="false">
      <c r="A60" s="6" t="n">
        <v>59</v>
      </c>
      <c r="B60" s="6" t="s">
        <v>506</v>
      </c>
      <c r="C60" s="6" t="s">
        <v>51</v>
      </c>
      <c r="D60" s="6" t="s">
        <v>91</v>
      </c>
      <c r="E60" s="6" t="s">
        <v>53</v>
      </c>
      <c r="F60" s="6" t="s">
        <v>604</v>
      </c>
      <c r="G60" s="6" t="s">
        <v>109</v>
      </c>
      <c r="H60" s="6" t="s">
        <v>110</v>
      </c>
      <c r="I60" s="6" t="s">
        <v>185</v>
      </c>
      <c r="J60" s="6" t="s">
        <v>58</v>
      </c>
      <c r="K60" s="6" t="s">
        <v>59</v>
      </c>
      <c r="L60" s="6" t="s">
        <v>605</v>
      </c>
      <c r="M60" s="6" t="s">
        <v>606</v>
      </c>
      <c r="N60" s="6" t="s">
        <v>607</v>
      </c>
      <c r="O60" s="6" t="s">
        <v>608</v>
      </c>
      <c r="P60" s="6" t="s">
        <v>390</v>
      </c>
      <c r="Q60" s="6" t="s">
        <v>65</v>
      </c>
      <c r="R60" s="6" t="s">
        <v>609</v>
      </c>
      <c r="S60" s="6" t="s">
        <v>610</v>
      </c>
      <c r="T60" s="6" t="s">
        <v>68</v>
      </c>
      <c r="U60" s="6" t="s">
        <v>393</v>
      </c>
      <c r="V60" s="6" t="s">
        <v>193</v>
      </c>
      <c r="W60" s="6" t="s">
        <v>611</v>
      </c>
      <c r="X60" s="6" t="s">
        <v>302</v>
      </c>
      <c r="Y60" s="6" t="s">
        <v>126</v>
      </c>
      <c r="Z60" s="6"/>
      <c r="AA60" s="7" t="s">
        <v>75</v>
      </c>
      <c r="AB60" s="7"/>
      <c r="AC60" s="7"/>
    </row>
    <row r="61" customFormat="false" ht="120" hidden="false" customHeight="true" outlineLevel="0" collapsed="false">
      <c r="A61" s="6" t="n">
        <v>60</v>
      </c>
      <c r="B61" s="6" t="s">
        <v>506</v>
      </c>
      <c r="C61" s="6" t="s">
        <v>51</v>
      </c>
      <c r="D61" s="6" t="s">
        <v>234</v>
      </c>
      <c r="E61" s="6" t="s">
        <v>53</v>
      </c>
      <c r="F61" s="6" t="s">
        <v>612</v>
      </c>
      <c r="G61" s="6" t="s">
        <v>613</v>
      </c>
      <c r="H61" s="6" t="s">
        <v>614</v>
      </c>
      <c r="I61" s="6" t="s">
        <v>185</v>
      </c>
      <c r="J61" s="6" t="s">
        <v>58</v>
      </c>
      <c r="K61" s="6" t="s">
        <v>59</v>
      </c>
      <c r="L61" s="6" t="s">
        <v>615</v>
      </c>
      <c r="M61" s="6" t="s">
        <v>616</v>
      </c>
      <c r="N61" s="6" t="s">
        <v>617</v>
      </c>
      <c r="O61" s="6" t="s">
        <v>618</v>
      </c>
      <c r="P61" s="6" t="s">
        <v>462</v>
      </c>
      <c r="Q61" s="6" t="s">
        <v>65</v>
      </c>
      <c r="R61" s="6" t="s">
        <v>619</v>
      </c>
      <c r="S61" s="6" t="s">
        <v>620</v>
      </c>
      <c r="T61" s="6" t="s">
        <v>68</v>
      </c>
      <c r="U61" s="6" t="s">
        <v>69</v>
      </c>
      <c r="V61" s="6" t="s">
        <v>621</v>
      </c>
      <c r="W61" s="6" t="s">
        <v>521</v>
      </c>
      <c r="X61" s="6" t="s">
        <v>622</v>
      </c>
      <c r="Y61" s="6" t="s">
        <v>623</v>
      </c>
      <c r="Z61" s="6" t="s">
        <v>624</v>
      </c>
      <c r="AA61" s="7" t="s">
        <v>75</v>
      </c>
      <c r="AB61" s="7"/>
      <c r="AC61" s="7"/>
    </row>
    <row r="62" customFormat="false" ht="120" hidden="false" customHeight="true" outlineLevel="0" collapsed="false">
      <c r="A62" s="8" t="n">
        <v>61</v>
      </c>
      <c r="B62" s="8" t="s">
        <v>625</v>
      </c>
      <c r="C62" s="8" t="s">
        <v>105</v>
      </c>
      <c r="D62" s="8" t="s">
        <v>626</v>
      </c>
      <c r="E62" s="8" t="s">
        <v>107</v>
      </c>
      <c r="F62" s="8" t="s">
        <v>627</v>
      </c>
      <c r="G62" s="8" t="s">
        <v>628</v>
      </c>
      <c r="H62" s="8" t="s">
        <v>56</v>
      </c>
      <c r="I62" s="8" t="s">
        <v>249</v>
      </c>
      <c r="J62" s="8" t="s">
        <v>629</v>
      </c>
      <c r="K62" s="8" t="s">
        <v>630</v>
      </c>
      <c r="L62" s="8" t="s">
        <v>631</v>
      </c>
      <c r="M62" s="8" t="s">
        <v>632</v>
      </c>
      <c r="N62" s="8" t="s">
        <v>633</v>
      </c>
      <c r="O62" s="8" t="s">
        <v>634</v>
      </c>
      <c r="P62" s="8" t="s">
        <v>107</v>
      </c>
      <c r="Q62" s="8" t="s">
        <v>118</v>
      </c>
      <c r="R62" s="8" t="s">
        <v>635</v>
      </c>
      <c r="S62" s="8" t="s">
        <v>636</v>
      </c>
      <c r="T62" s="8" t="s">
        <v>637</v>
      </c>
      <c r="U62" s="8" t="s">
        <v>122</v>
      </c>
      <c r="V62" s="8" t="s">
        <v>638</v>
      </c>
      <c r="W62" s="8" t="s">
        <v>639</v>
      </c>
      <c r="X62" s="8" t="s">
        <v>640</v>
      </c>
      <c r="Y62" s="8" t="s">
        <v>623</v>
      </c>
      <c r="Z62" s="8"/>
      <c r="AA62" s="7" t="s">
        <v>75</v>
      </c>
      <c r="AB62" s="7"/>
      <c r="AC62" s="7"/>
    </row>
    <row r="63" customFormat="false" ht="120" hidden="false" customHeight="true" outlineLevel="0" collapsed="false">
      <c r="A63" s="8" t="n">
        <v>62</v>
      </c>
      <c r="B63" s="8" t="s">
        <v>625</v>
      </c>
      <c r="C63" s="8" t="s">
        <v>105</v>
      </c>
      <c r="D63" s="8" t="s">
        <v>127</v>
      </c>
      <c r="E63" s="8" t="s">
        <v>107</v>
      </c>
      <c r="F63" s="8" t="s">
        <v>641</v>
      </c>
      <c r="G63" s="8" t="s">
        <v>109</v>
      </c>
      <c r="H63" s="8" t="s">
        <v>110</v>
      </c>
      <c r="I63" s="8" t="s">
        <v>111</v>
      </c>
      <c r="J63" s="8" t="s">
        <v>112</v>
      </c>
      <c r="K63" s="8" t="s">
        <v>630</v>
      </c>
      <c r="L63" s="8" t="s">
        <v>642</v>
      </c>
      <c r="M63" s="8" t="s">
        <v>643</v>
      </c>
      <c r="N63" s="8" t="s">
        <v>644</v>
      </c>
      <c r="O63" s="8" t="s">
        <v>117</v>
      </c>
      <c r="P63" s="8" t="s">
        <v>107</v>
      </c>
      <c r="Q63" s="8" t="s">
        <v>118</v>
      </c>
      <c r="R63" s="8" t="s">
        <v>645</v>
      </c>
      <c r="S63" s="8" t="s">
        <v>646</v>
      </c>
      <c r="T63" s="8" t="s">
        <v>647</v>
      </c>
      <c r="U63" s="8" t="s">
        <v>122</v>
      </c>
      <c r="V63" s="8" t="s">
        <v>123</v>
      </c>
      <c r="W63" s="8" t="s">
        <v>648</v>
      </c>
      <c r="X63" s="8" t="s">
        <v>125</v>
      </c>
      <c r="Y63" s="8" t="s">
        <v>126</v>
      </c>
      <c r="Z63" s="8"/>
      <c r="AA63" s="7" t="s">
        <v>75</v>
      </c>
      <c r="AB63" s="7"/>
      <c r="AC63" s="7"/>
    </row>
    <row r="64" customFormat="false" ht="120" hidden="false" customHeight="true" outlineLevel="0" collapsed="false">
      <c r="A64" s="8" t="n">
        <v>63</v>
      </c>
      <c r="B64" s="8" t="s">
        <v>625</v>
      </c>
      <c r="C64" s="8" t="s">
        <v>105</v>
      </c>
      <c r="D64" s="8" t="s">
        <v>626</v>
      </c>
      <c r="E64" s="8" t="s">
        <v>151</v>
      </c>
      <c r="F64" s="8" t="s">
        <v>649</v>
      </c>
      <c r="G64" s="8" t="s">
        <v>628</v>
      </c>
      <c r="H64" s="8" t="s">
        <v>56</v>
      </c>
      <c r="I64" s="8" t="s">
        <v>312</v>
      </c>
      <c r="J64" s="8" t="s">
        <v>154</v>
      </c>
      <c r="K64" s="8" t="s">
        <v>630</v>
      </c>
      <c r="L64" s="8" t="s">
        <v>650</v>
      </c>
      <c r="M64" s="8" t="s">
        <v>651</v>
      </c>
      <c r="N64" s="8" t="s">
        <v>652</v>
      </c>
      <c r="O64" s="8" t="s">
        <v>653</v>
      </c>
      <c r="P64" s="8" t="s">
        <v>158</v>
      </c>
      <c r="Q64" s="8" t="s">
        <v>159</v>
      </c>
      <c r="R64" s="8" t="s">
        <v>654</v>
      </c>
      <c r="S64" s="8" t="s">
        <v>655</v>
      </c>
      <c r="T64" s="8" t="s">
        <v>637</v>
      </c>
      <c r="U64" s="8" t="s">
        <v>163</v>
      </c>
      <c r="V64" s="8" t="s">
        <v>638</v>
      </c>
      <c r="W64" s="8" t="s">
        <v>639</v>
      </c>
      <c r="X64" s="8" t="s">
        <v>640</v>
      </c>
      <c r="Y64" s="8" t="s">
        <v>623</v>
      </c>
      <c r="Z64" s="8"/>
      <c r="AA64" s="7" t="s">
        <v>75</v>
      </c>
      <c r="AB64" s="7"/>
      <c r="AC64" s="7"/>
    </row>
    <row r="65" customFormat="false" ht="120" hidden="false" customHeight="true" outlineLevel="0" collapsed="false">
      <c r="A65" s="8" t="n">
        <v>64</v>
      </c>
      <c r="B65" s="8" t="s">
        <v>625</v>
      </c>
      <c r="C65" s="8" t="s">
        <v>105</v>
      </c>
      <c r="D65" s="8" t="s">
        <v>106</v>
      </c>
      <c r="E65" s="8" t="s">
        <v>128</v>
      </c>
      <c r="F65" s="8" t="s">
        <v>656</v>
      </c>
      <c r="G65" s="8" t="s">
        <v>109</v>
      </c>
      <c r="H65" s="8" t="s">
        <v>110</v>
      </c>
      <c r="I65" s="8" t="s">
        <v>266</v>
      </c>
      <c r="J65" s="8" t="s">
        <v>131</v>
      </c>
      <c r="K65" s="8" t="s">
        <v>630</v>
      </c>
      <c r="L65" s="8" t="s">
        <v>657</v>
      </c>
      <c r="M65" s="8" t="s">
        <v>658</v>
      </c>
      <c r="N65" s="8" t="s">
        <v>659</v>
      </c>
      <c r="O65" s="8" t="s">
        <v>117</v>
      </c>
      <c r="P65" s="8" t="s">
        <v>128</v>
      </c>
      <c r="Q65" s="8" t="s">
        <v>135</v>
      </c>
      <c r="R65" s="8" t="s">
        <v>660</v>
      </c>
      <c r="S65" s="8" t="s">
        <v>661</v>
      </c>
      <c r="T65" s="8" t="s">
        <v>647</v>
      </c>
      <c r="U65" s="8" t="s">
        <v>139</v>
      </c>
      <c r="V65" s="8" t="s">
        <v>123</v>
      </c>
      <c r="W65" s="8" t="s">
        <v>124</v>
      </c>
      <c r="X65" s="8" t="s">
        <v>125</v>
      </c>
      <c r="Y65" s="8" t="s">
        <v>126</v>
      </c>
      <c r="Z65" s="8"/>
      <c r="AA65" s="7" t="s">
        <v>75</v>
      </c>
      <c r="AB65" s="7"/>
      <c r="AC65" s="7"/>
    </row>
    <row r="66" customFormat="false" ht="120" hidden="false" customHeight="true" outlineLevel="0" collapsed="false">
      <c r="A66" s="8" t="n">
        <v>65</v>
      </c>
      <c r="B66" s="8" t="s">
        <v>625</v>
      </c>
      <c r="C66" s="8" t="s">
        <v>105</v>
      </c>
      <c r="D66" s="8" t="s">
        <v>662</v>
      </c>
      <c r="E66" s="8" t="s">
        <v>53</v>
      </c>
      <c r="F66" s="8" t="s">
        <v>663</v>
      </c>
      <c r="G66" s="8" t="s">
        <v>236</v>
      </c>
      <c r="H66" s="8" t="s">
        <v>56</v>
      </c>
      <c r="I66" s="8" t="s">
        <v>185</v>
      </c>
      <c r="J66" s="8" t="s">
        <v>58</v>
      </c>
      <c r="K66" s="8" t="s">
        <v>630</v>
      </c>
      <c r="L66" s="8" t="s">
        <v>664</v>
      </c>
      <c r="M66" s="8" t="s">
        <v>665</v>
      </c>
      <c r="N66" s="8" t="s">
        <v>666</v>
      </c>
      <c r="O66" s="8" t="s">
        <v>667</v>
      </c>
      <c r="P66" s="8" t="s">
        <v>98</v>
      </c>
      <c r="Q66" s="8" t="s">
        <v>99</v>
      </c>
      <c r="R66" s="8" t="s">
        <v>668</v>
      </c>
      <c r="S66" s="8" t="s">
        <v>669</v>
      </c>
      <c r="T66" s="8" t="s">
        <v>670</v>
      </c>
      <c r="U66" s="8" t="s">
        <v>232</v>
      </c>
      <c r="V66" s="8" t="s">
        <v>103</v>
      </c>
      <c r="W66" s="8" t="s">
        <v>90</v>
      </c>
      <c r="X66" s="8" t="s">
        <v>671</v>
      </c>
      <c r="Y66" s="8" t="s">
        <v>73</v>
      </c>
      <c r="Z66" s="8"/>
      <c r="AA66" s="7" t="s">
        <v>75</v>
      </c>
      <c r="AB66" s="7"/>
      <c r="AC66" s="7"/>
    </row>
    <row r="67" customFormat="false" ht="120" hidden="false" customHeight="true" outlineLevel="0" collapsed="false">
      <c r="A67" s="8" t="n">
        <v>66</v>
      </c>
      <c r="B67" s="8" t="s">
        <v>625</v>
      </c>
      <c r="C67" s="8" t="s">
        <v>105</v>
      </c>
      <c r="D67" s="8" t="s">
        <v>127</v>
      </c>
      <c r="E67" s="8" t="s">
        <v>140</v>
      </c>
      <c r="F67" s="8" t="s">
        <v>672</v>
      </c>
      <c r="G67" s="8" t="s">
        <v>109</v>
      </c>
      <c r="H67" s="8" t="s">
        <v>110</v>
      </c>
      <c r="I67" s="8" t="s">
        <v>673</v>
      </c>
      <c r="J67" s="8" t="s">
        <v>131</v>
      </c>
      <c r="K67" s="8" t="s">
        <v>630</v>
      </c>
      <c r="L67" s="8" t="s">
        <v>674</v>
      </c>
      <c r="M67" s="8" t="s">
        <v>675</v>
      </c>
      <c r="N67" s="8" t="s">
        <v>676</v>
      </c>
      <c r="O67" s="8" t="s">
        <v>117</v>
      </c>
      <c r="P67" s="8" t="s">
        <v>140</v>
      </c>
      <c r="Q67" s="8" t="s">
        <v>146</v>
      </c>
      <c r="R67" s="8" t="s">
        <v>677</v>
      </c>
      <c r="S67" s="8" t="s">
        <v>678</v>
      </c>
      <c r="T67" s="8" t="s">
        <v>647</v>
      </c>
      <c r="U67" s="8" t="s">
        <v>150</v>
      </c>
      <c r="V67" s="8" t="s">
        <v>123</v>
      </c>
      <c r="W67" s="8" t="s">
        <v>124</v>
      </c>
      <c r="X67" s="8" t="s">
        <v>125</v>
      </c>
      <c r="Y67" s="8" t="s">
        <v>126</v>
      </c>
      <c r="Z67" s="8"/>
      <c r="AA67" s="7" t="s">
        <v>75</v>
      </c>
      <c r="AB67" s="7"/>
      <c r="AC67" s="7"/>
    </row>
    <row r="68" customFormat="false" ht="120" hidden="false" customHeight="true" outlineLevel="0" collapsed="false">
      <c r="A68" s="8" t="n">
        <v>67</v>
      </c>
      <c r="B68" s="8" t="s">
        <v>625</v>
      </c>
      <c r="C68" s="8" t="s">
        <v>105</v>
      </c>
      <c r="D68" s="8" t="s">
        <v>679</v>
      </c>
      <c r="E68" s="8" t="s">
        <v>107</v>
      </c>
      <c r="F68" s="8" t="s">
        <v>680</v>
      </c>
      <c r="G68" s="8" t="s">
        <v>281</v>
      </c>
      <c r="H68" s="8" t="s">
        <v>110</v>
      </c>
      <c r="I68" s="8" t="s">
        <v>258</v>
      </c>
      <c r="J68" s="8" t="s">
        <v>629</v>
      </c>
      <c r="K68" s="8" t="s">
        <v>630</v>
      </c>
      <c r="L68" s="8" t="s">
        <v>681</v>
      </c>
      <c r="M68" s="8" t="s">
        <v>682</v>
      </c>
      <c r="N68" s="8" t="s">
        <v>683</v>
      </c>
      <c r="O68" s="8" t="s">
        <v>684</v>
      </c>
      <c r="P68" s="8" t="s">
        <v>107</v>
      </c>
      <c r="Q68" s="8" t="s">
        <v>118</v>
      </c>
      <c r="R68" s="8" t="s">
        <v>685</v>
      </c>
      <c r="S68" s="8" t="s">
        <v>686</v>
      </c>
      <c r="T68" s="8" t="s">
        <v>687</v>
      </c>
      <c r="U68" s="8" t="s">
        <v>122</v>
      </c>
      <c r="V68" s="8" t="s">
        <v>688</v>
      </c>
      <c r="W68" s="8" t="s">
        <v>689</v>
      </c>
      <c r="X68" s="8" t="s">
        <v>690</v>
      </c>
      <c r="Y68" s="8" t="s">
        <v>126</v>
      </c>
      <c r="Z68" s="8"/>
      <c r="AA68" s="7" t="s">
        <v>75</v>
      </c>
      <c r="AB68" s="7"/>
      <c r="AC68" s="7"/>
    </row>
    <row r="69" customFormat="false" ht="120" hidden="false" customHeight="true" outlineLevel="0" collapsed="false">
      <c r="A69" s="8" t="n">
        <v>68</v>
      </c>
      <c r="B69" s="8" t="s">
        <v>625</v>
      </c>
      <c r="C69" s="8" t="s">
        <v>105</v>
      </c>
      <c r="D69" s="8" t="s">
        <v>626</v>
      </c>
      <c r="E69" s="8" t="s">
        <v>289</v>
      </c>
      <c r="F69" s="8" t="s">
        <v>691</v>
      </c>
      <c r="G69" s="8" t="s">
        <v>628</v>
      </c>
      <c r="H69" s="8" t="s">
        <v>56</v>
      </c>
      <c r="I69" s="8" t="s">
        <v>258</v>
      </c>
      <c r="J69" s="8" t="s">
        <v>292</v>
      </c>
      <c r="K69" s="8" t="s">
        <v>630</v>
      </c>
      <c r="L69" s="8" t="s">
        <v>692</v>
      </c>
      <c r="M69" s="8" t="s">
        <v>693</v>
      </c>
      <c r="N69" s="8" t="s">
        <v>694</v>
      </c>
      <c r="O69" s="8" t="s">
        <v>695</v>
      </c>
      <c r="P69" s="8" t="s">
        <v>289</v>
      </c>
      <c r="Q69" s="8" t="s">
        <v>297</v>
      </c>
      <c r="R69" s="8" t="s">
        <v>696</v>
      </c>
      <c r="S69" s="8" t="s">
        <v>697</v>
      </c>
      <c r="T69" s="8" t="s">
        <v>637</v>
      </c>
      <c r="U69" s="8" t="s">
        <v>300</v>
      </c>
      <c r="V69" s="8" t="s">
        <v>638</v>
      </c>
      <c r="W69" s="8" t="s">
        <v>639</v>
      </c>
      <c r="X69" s="8" t="s">
        <v>640</v>
      </c>
      <c r="Y69" s="8" t="s">
        <v>623</v>
      </c>
      <c r="Z69" s="8"/>
      <c r="AA69" s="7" t="s">
        <v>75</v>
      </c>
      <c r="AB69" s="7"/>
      <c r="AC69" s="7"/>
    </row>
    <row r="70" customFormat="false" ht="120" hidden="false" customHeight="true" outlineLevel="0" collapsed="false">
      <c r="A70" s="8" t="n">
        <v>69</v>
      </c>
      <c r="B70" s="8" t="s">
        <v>625</v>
      </c>
      <c r="C70" s="8" t="s">
        <v>105</v>
      </c>
      <c r="D70" s="8" t="s">
        <v>106</v>
      </c>
      <c r="E70" s="8" t="s">
        <v>151</v>
      </c>
      <c r="F70" s="8" t="s">
        <v>698</v>
      </c>
      <c r="G70" s="8" t="s">
        <v>109</v>
      </c>
      <c r="H70" s="8" t="s">
        <v>110</v>
      </c>
      <c r="I70" s="8" t="s">
        <v>699</v>
      </c>
      <c r="J70" s="8" t="s">
        <v>700</v>
      </c>
      <c r="K70" s="8" t="s">
        <v>630</v>
      </c>
      <c r="L70" s="8" t="s">
        <v>701</v>
      </c>
      <c r="M70" s="8" t="s">
        <v>702</v>
      </c>
      <c r="N70" s="8" t="s">
        <v>703</v>
      </c>
      <c r="O70" s="8" t="s">
        <v>117</v>
      </c>
      <c r="P70" s="8" t="s">
        <v>158</v>
      </c>
      <c r="Q70" s="8" t="s">
        <v>159</v>
      </c>
      <c r="R70" s="8" t="s">
        <v>704</v>
      </c>
      <c r="S70" s="8" t="s">
        <v>705</v>
      </c>
      <c r="T70" s="8" t="s">
        <v>647</v>
      </c>
      <c r="U70" s="8" t="s">
        <v>163</v>
      </c>
      <c r="V70" s="8" t="s">
        <v>123</v>
      </c>
      <c r="W70" s="8" t="s">
        <v>164</v>
      </c>
      <c r="X70" s="8" t="s">
        <v>125</v>
      </c>
      <c r="Y70" s="8" t="s">
        <v>126</v>
      </c>
      <c r="Z70" s="8"/>
      <c r="AA70" s="7" t="s">
        <v>75</v>
      </c>
      <c r="AB70" s="7"/>
      <c r="AC70" s="7"/>
    </row>
    <row r="71" customFormat="false" ht="120" hidden="false" customHeight="true" outlineLevel="0" collapsed="false">
      <c r="A71" s="8" t="n">
        <v>70</v>
      </c>
      <c r="B71" s="8" t="s">
        <v>625</v>
      </c>
      <c r="C71" s="8" t="s">
        <v>105</v>
      </c>
      <c r="D71" s="8" t="s">
        <v>706</v>
      </c>
      <c r="E71" s="8" t="s">
        <v>53</v>
      </c>
      <c r="F71" s="8" t="s">
        <v>707</v>
      </c>
      <c r="G71" s="8" t="s">
        <v>236</v>
      </c>
      <c r="H71" s="8" t="s">
        <v>56</v>
      </c>
      <c r="I71" s="8" t="s">
        <v>185</v>
      </c>
      <c r="J71" s="8" t="s">
        <v>80</v>
      </c>
      <c r="K71" s="8" t="s">
        <v>630</v>
      </c>
      <c r="L71" s="8" t="s">
        <v>708</v>
      </c>
      <c r="M71" s="8" t="s">
        <v>709</v>
      </c>
      <c r="N71" s="8" t="s">
        <v>710</v>
      </c>
      <c r="O71" s="8" t="s">
        <v>711</v>
      </c>
      <c r="P71" s="8" t="s">
        <v>85</v>
      </c>
      <c r="Q71" s="8" t="s">
        <v>65</v>
      </c>
      <c r="R71" s="8" t="s">
        <v>712</v>
      </c>
      <c r="S71" s="8" t="s">
        <v>713</v>
      </c>
      <c r="T71" s="8" t="s">
        <v>714</v>
      </c>
      <c r="U71" s="8" t="s">
        <v>88</v>
      </c>
      <c r="V71" s="8" t="s">
        <v>715</v>
      </c>
      <c r="W71" s="8" t="s">
        <v>716</v>
      </c>
      <c r="X71" s="8" t="s">
        <v>671</v>
      </c>
      <c r="Y71" s="8" t="s">
        <v>73</v>
      </c>
      <c r="Z71" s="8"/>
      <c r="AA71" s="7" t="s">
        <v>75</v>
      </c>
      <c r="AB71" s="7"/>
      <c r="AC71" s="7"/>
    </row>
    <row r="72" customFormat="false" ht="120" hidden="false" customHeight="true" outlineLevel="0" collapsed="false">
      <c r="A72" s="8" t="n">
        <v>71</v>
      </c>
      <c r="B72" s="8" t="s">
        <v>625</v>
      </c>
      <c r="C72" s="8" t="s">
        <v>105</v>
      </c>
      <c r="D72" s="8" t="s">
        <v>717</v>
      </c>
      <c r="E72" s="8" t="s">
        <v>718</v>
      </c>
      <c r="F72" s="8" t="s">
        <v>719</v>
      </c>
      <c r="G72" s="8" t="s">
        <v>281</v>
      </c>
      <c r="H72" s="8" t="s">
        <v>110</v>
      </c>
      <c r="I72" s="8" t="s">
        <v>266</v>
      </c>
      <c r="J72" s="8" t="s">
        <v>131</v>
      </c>
      <c r="K72" s="8" t="s">
        <v>630</v>
      </c>
      <c r="L72" s="8" t="s">
        <v>720</v>
      </c>
      <c r="M72" s="8" t="s">
        <v>721</v>
      </c>
      <c r="N72" s="8" t="s">
        <v>722</v>
      </c>
      <c r="O72" s="8" t="s">
        <v>723</v>
      </c>
      <c r="P72" s="8" t="s">
        <v>724</v>
      </c>
      <c r="Q72" s="8" t="s">
        <v>135</v>
      </c>
      <c r="R72" s="8" t="s">
        <v>725</v>
      </c>
      <c r="S72" s="8" t="s">
        <v>726</v>
      </c>
      <c r="T72" s="8" t="s">
        <v>687</v>
      </c>
      <c r="U72" s="8" t="s">
        <v>163</v>
      </c>
      <c r="V72" s="8" t="s">
        <v>688</v>
      </c>
      <c r="W72" s="8" t="s">
        <v>689</v>
      </c>
      <c r="X72" s="8" t="s">
        <v>690</v>
      </c>
      <c r="Y72" s="8" t="s">
        <v>126</v>
      </c>
      <c r="Z72" s="8"/>
      <c r="AA72" s="7" t="s">
        <v>75</v>
      </c>
      <c r="AB72" s="7"/>
      <c r="AC72" s="7"/>
    </row>
    <row r="73" customFormat="false" ht="120" hidden="false" customHeight="true" outlineLevel="0" collapsed="false">
      <c r="A73" s="8" t="n">
        <v>72</v>
      </c>
      <c r="B73" s="8" t="s">
        <v>625</v>
      </c>
      <c r="C73" s="8" t="s">
        <v>105</v>
      </c>
      <c r="D73" s="8" t="s">
        <v>626</v>
      </c>
      <c r="E73" s="8" t="s">
        <v>128</v>
      </c>
      <c r="F73" s="8" t="s">
        <v>727</v>
      </c>
      <c r="G73" s="8" t="s">
        <v>628</v>
      </c>
      <c r="H73" s="8" t="s">
        <v>56</v>
      </c>
      <c r="I73" s="8" t="s">
        <v>435</v>
      </c>
      <c r="J73" s="8" t="s">
        <v>131</v>
      </c>
      <c r="K73" s="8" t="s">
        <v>630</v>
      </c>
      <c r="L73" s="8" t="s">
        <v>728</v>
      </c>
      <c r="M73" s="8" t="s">
        <v>729</v>
      </c>
      <c r="N73" s="8" t="s">
        <v>730</v>
      </c>
      <c r="O73" s="8" t="s">
        <v>731</v>
      </c>
      <c r="P73" s="8" t="s">
        <v>128</v>
      </c>
      <c r="Q73" s="8" t="s">
        <v>135</v>
      </c>
      <c r="R73" s="8" t="s">
        <v>732</v>
      </c>
      <c r="S73" s="8" t="s">
        <v>733</v>
      </c>
      <c r="T73" s="8" t="s">
        <v>637</v>
      </c>
      <c r="U73" s="8" t="s">
        <v>139</v>
      </c>
      <c r="V73" s="8" t="s">
        <v>638</v>
      </c>
      <c r="W73" s="8" t="s">
        <v>639</v>
      </c>
      <c r="X73" s="8" t="s">
        <v>640</v>
      </c>
      <c r="Y73" s="8" t="s">
        <v>623</v>
      </c>
      <c r="Z73" s="8"/>
      <c r="AA73" s="7" t="s">
        <v>75</v>
      </c>
      <c r="AB73" s="7"/>
      <c r="AC73" s="7"/>
    </row>
    <row r="74" customFormat="false" ht="120" hidden="false" customHeight="true" outlineLevel="0" collapsed="false">
      <c r="A74" s="8" t="n">
        <v>73</v>
      </c>
      <c r="B74" s="8" t="s">
        <v>625</v>
      </c>
      <c r="C74" s="8" t="s">
        <v>105</v>
      </c>
      <c r="D74" s="8" t="s">
        <v>127</v>
      </c>
      <c r="E74" s="8" t="s">
        <v>107</v>
      </c>
      <c r="F74" s="8" t="s">
        <v>734</v>
      </c>
      <c r="G74" s="8" t="s">
        <v>109</v>
      </c>
      <c r="H74" s="8" t="s">
        <v>110</v>
      </c>
      <c r="I74" s="8" t="s">
        <v>735</v>
      </c>
      <c r="J74" s="8" t="s">
        <v>629</v>
      </c>
      <c r="K74" s="8" t="s">
        <v>630</v>
      </c>
      <c r="L74" s="8" t="s">
        <v>736</v>
      </c>
      <c r="M74" s="8" t="s">
        <v>737</v>
      </c>
      <c r="N74" s="8" t="s">
        <v>738</v>
      </c>
      <c r="O74" s="8" t="s">
        <v>739</v>
      </c>
      <c r="P74" s="8" t="s">
        <v>399</v>
      </c>
      <c r="Q74" s="8" t="s">
        <v>118</v>
      </c>
      <c r="R74" s="8" t="s">
        <v>740</v>
      </c>
      <c r="S74" s="8" t="s">
        <v>741</v>
      </c>
      <c r="T74" s="8" t="s">
        <v>647</v>
      </c>
      <c r="U74" s="8" t="s">
        <v>122</v>
      </c>
      <c r="V74" s="8" t="s">
        <v>123</v>
      </c>
      <c r="W74" s="8" t="s">
        <v>742</v>
      </c>
      <c r="X74" s="8" t="s">
        <v>125</v>
      </c>
      <c r="Y74" s="8" t="s">
        <v>126</v>
      </c>
      <c r="Z74" s="8"/>
      <c r="AA74" s="7" t="s">
        <v>75</v>
      </c>
      <c r="AB74" s="7"/>
      <c r="AC74" s="7"/>
    </row>
    <row r="75" customFormat="false" ht="120" hidden="false" customHeight="true" outlineLevel="0" collapsed="false">
      <c r="A75" s="8" t="n">
        <v>74</v>
      </c>
      <c r="B75" s="8" t="s">
        <v>625</v>
      </c>
      <c r="C75" s="8" t="s">
        <v>105</v>
      </c>
      <c r="D75" s="8" t="s">
        <v>743</v>
      </c>
      <c r="E75" s="8" t="s">
        <v>53</v>
      </c>
      <c r="F75" s="8" t="s">
        <v>744</v>
      </c>
      <c r="G75" s="8" t="s">
        <v>281</v>
      </c>
      <c r="H75" s="8" t="s">
        <v>110</v>
      </c>
      <c r="I75" s="8" t="s">
        <v>185</v>
      </c>
      <c r="J75" s="8" t="s">
        <v>58</v>
      </c>
      <c r="K75" s="8" t="s">
        <v>630</v>
      </c>
      <c r="L75" s="8" t="s">
        <v>745</v>
      </c>
      <c r="M75" s="8" t="s">
        <v>746</v>
      </c>
      <c r="N75" s="8" t="s">
        <v>747</v>
      </c>
      <c r="O75" s="8" t="s">
        <v>748</v>
      </c>
      <c r="P75" s="8" t="s">
        <v>229</v>
      </c>
      <c r="Q75" s="8" t="s">
        <v>99</v>
      </c>
      <c r="R75" s="8" t="s">
        <v>749</v>
      </c>
      <c r="S75" s="8" t="s">
        <v>750</v>
      </c>
      <c r="T75" s="8" t="s">
        <v>687</v>
      </c>
      <c r="U75" s="8" t="s">
        <v>232</v>
      </c>
      <c r="V75" s="8" t="s">
        <v>688</v>
      </c>
      <c r="W75" s="8" t="s">
        <v>381</v>
      </c>
      <c r="X75" s="8" t="s">
        <v>302</v>
      </c>
      <c r="Y75" s="8" t="s">
        <v>126</v>
      </c>
      <c r="Z75" s="8"/>
      <c r="AA75" s="7" t="s">
        <v>75</v>
      </c>
      <c r="AB75" s="7"/>
      <c r="AC75" s="7"/>
    </row>
    <row r="76" customFormat="false" ht="120" hidden="false" customHeight="true" outlineLevel="0" collapsed="false">
      <c r="A76" s="8" t="n">
        <v>75</v>
      </c>
      <c r="B76" s="8" t="s">
        <v>625</v>
      </c>
      <c r="C76" s="8" t="s">
        <v>105</v>
      </c>
      <c r="D76" s="8" t="s">
        <v>106</v>
      </c>
      <c r="E76" s="8" t="s">
        <v>107</v>
      </c>
      <c r="F76" s="8" t="s">
        <v>751</v>
      </c>
      <c r="G76" s="8" t="s">
        <v>109</v>
      </c>
      <c r="H76" s="8" t="s">
        <v>110</v>
      </c>
      <c r="I76" s="8" t="s">
        <v>258</v>
      </c>
      <c r="J76" s="8" t="s">
        <v>629</v>
      </c>
      <c r="K76" s="8" t="s">
        <v>630</v>
      </c>
      <c r="L76" s="8" t="s">
        <v>752</v>
      </c>
      <c r="M76" s="8" t="s">
        <v>753</v>
      </c>
      <c r="N76" s="8" t="s">
        <v>754</v>
      </c>
      <c r="O76" s="8" t="s">
        <v>755</v>
      </c>
      <c r="P76" s="8" t="s">
        <v>588</v>
      </c>
      <c r="Q76" s="8" t="s">
        <v>118</v>
      </c>
      <c r="R76" s="8" t="s">
        <v>756</v>
      </c>
      <c r="S76" s="8" t="s">
        <v>757</v>
      </c>
      <c r="T76" s="8" t="s">
        <v>647</v>
      </c>
      <c r="U76" s="8" t="s">
        <v>122</v>
      </c>
      <c r="V76" s="8" t="s">
        <v>123</v>
      </c>
      <c r="W76" s="8" t="s">
        <v>124</v>
      </c>
      <c r="X76" s="8" t="s">
        <v>125</v>
      </c>
      <c r="Y76" s="8" t="s">
        <v>126</v>
      </c>
      <c r="Z76" s="8"/>
      <c r="AA76" s="7" t="s">
        <v>75</v>
      </c>
      <c r="AB76" s="7"/>
      <c r="AC76" s="7"/>
    </row>
    <row r="77" customFormat="false" ht="120" hidden="false" customHeight="true" outlineLevel="0" collapsed="false">
      <c r="A77" s="8" t="n">
        <v>76</v>
      </c>
      <c r="B77" s="8" t="s">
        <v>758</v>
      </c>
      <c r="C77" s="8" t="s">
        <v>105</v>
      </c>
      <c r="D77" s="8" t="s">
        <v>759</v>
      </c>
      <c r="E77" s="8" t="s">
        <v>53</v>
      </c>
      <c r="F77" s="8" t="s">
        <v>760</v>
      </c>
      <c r="G77" s="8" t="s">
        <v>761</v>
      </c>
      <c r="H77" s="8" t="s">
        <v>614</v>
      </c>
      <c r="I77" s="8" t="s">
        <v>762</v>
      </c>
      <c r="J77" s="8" t="s">
        <v>58</v>
      </c>
      <c r="K77" s="8" t="s">
        <v>763</v>
      </c>
      <c r="L77" s="8" t="s">
        <v>764</v>
      </c>
      <c r="M77" s="8" t="s">
        <v>765</v>
      </c>
      <c r="N77" s="8" t="s">
        <v>766</v>
      </c>
      <c r="O77" s="8" t="s">
        <v>748</v>
      </c>
      <c r="P77" s="8" t="s">
        <v>229</v>
      </c>
      <c r="Q77" s="8" t="s">
        <v>99</v>
      </c>
      <c r="R77" s="8" t="s">
        <v>767</v>
      </c>
      <c r="S77" s="8" t="s">
        <v>768</v>
      </c>
      <c r="T77" s="8" t="s">
        <v>769</v>
      </c>
      <c r="U77" s="8" t="s">
        <v>232</v>
      </c>
      <c r="V77" s="8" t="s">
        <v>770</v>
      </c>
      <c r="W77" s="8" t="s">
        <v>771</v>
      </c>
      <c r="X77" s="8" t="s">
        <v>772</v>
      </c>
      <c r="Y77" s="8" t="s">
        <v>623</v>
      </c>
      <c r="Z77" s="8"/>
      <c r="AA77" s="7" t="s">
        <v>75</v>
      </c>
      <c r="AB77" s="7"/>
      <c r="AC77" s="7"/>
    </row>
    <row r="78" customFormat="false" ht="120" hidden="false" customHeight="true" outlineLevel="0" collapsed="false">
      <c r="A78" s="8" t="n">
        <v>77</v>
      </c>
      <c r="B78" s="8" t="s">
        <v>758</v>
      </c>
      <c r="C78" s="8" t="s">
        <v>105</v>
      </c>
      <c r="D78" s="8" t="s">
        <v>773</v>
      </c>
      <c r="E78" s="8" t="s">
        <v>107</v>
      </c>
      <c r="F78" s="8" t="s">
        <v>774</v>
      </c>
      <c r="G78" s="8" t="s">
        <v>761</v>
      </c>
      <c r="H78" s="8" t="s">
        <v>614</v>
      </c>
      <c r="I78" s="8" t="s">
        <v>775</v>
      </c>
      <c r="J78" s="8" t="s">
        <v>629</v>
      </c>
      <c r="K78" s="8" t="s">
        <v>763</v>
      </c>
      <c r="L78" s="8" t="s">
        <v>776</v>
      </c>
      <c r="M78" s="8" t="s">
        <v>777</v>
      </c>
      <c r="N78" s="8" t="s">
        <v>778</v>
      </c>
      <c r="O78" s="8" t="s">
        <v>117</v>
      </c>
      <c r="P78" s="8" t="s">
        <v>107</v>
      </c>
      <c r="Q78" s="8" t="s">
        <v>118</v>
      </c>
      <c r="R78" s="8" t="s">
        <v>779</v>
      </c>
      <c r="S78" s="8" t="s">
        <v>780</v>
      </c>
      <c r="T78" s="8" t="s">
        <v>781</v>
      </c>
      <c r="U78" s="8" t="s">
        <v>122</v>
      </c>
      <c r="V78" s="8" t="s">
        <v>770</v>
      </c>
      <c r="W78" s="8" t="s">
        <v>782</v>
      </c>
      <c r="X78" s="8" t="s">
        <v>772</v>
      </c>
      <c r="Y78" s="8" t="s">
        <v>623</v>
      </c>
      <c r="Z78" s="8"/>
      <c r="AA78" s="7" t="s">
        <v>75</v>
      </c>
      <c r="AB78" s="7"/>
      <c r="AC78" s="7"/>
    </row>
    <row r="79" customFormat="false" ht="120" hidden="false" customHeight="true" outlineLevel="0" collapsed="false">
      <c r="A79" s="8" t="n">
        <v>78</v>
      </c>
      <c r="B79" s="8" t="s">
        <v>758</v>
      </c>
      <c r="C79" s="8" t="s">
        <v>105</v>
      </c>
      <c r="D79" s="8" t="s">
        <v>783</v>
      </c>
      <c r="E79" s="8" t="s">
        <v>53</v>
      </c>
      <c r="F79" s="8" t="s">
        <v>784</v>
      </c>
      <c r="G79" s="8" t="s">
        <v>785</v>
      </c>
      <c r="H79" s="8" t="s">
        <v>614</v>
      </c>
      <c r="I79" s="8" t="s">
        <v>786</v>
      </c>
      <c r="J79" s="8" t="s">
        <v>58</v>
      </c>
      <c r="K79" s="8" t="s">
        <v>763</v>
      </c>
      <c r="L79" s="8" t="s">
        <v>787</v>
      </c>
      <c r="M79" s="8" t="s">
        <v>788</v>
      </c>
      <c r="N79" s="8" t="s">
        <v>789</v>
      </c>
      <c r="O79" s="8" t="s">
        <v>790</v>
      </c>
      <c r="P79" s="8" t="s">
        <v>791</v>
      </c>
      <c r="Q79" s="8" t="s">
        <v>65</v>
      </c>
      <c r="R79" s="8" t="s">
        <v>792</v>
      </c>
      <c r="S79" s="8" t="s">
        <v>793</v>
      </c>
      <c r="T79" s="8" t="s">
        <v>794</v>
      </c>
      <c r="U79" s="8" t="s">
        <v>795</v>
      </c>
      <c r="V79" s="8" t="s">
        <v>796</v>
      </c>
      <c r="W79" s="8" t="s">
        <v>797</v>
      </c>
      <c r="X79" s="8" t="s">
        <v>798</v>
      </c>
      <c r="Y79" s="8" t="s">
        <v>623</v>
      </c>
      <c r="Z79" s="8"/>
      <c r="AA79" s="7" t="s">
        <v>75</v>
      </c>
      <c r="AB79" s="7"/>
      <c r="AC79" s="7"/>
    </row>
    <row r="80" customFormat="false" ht="120" hidden="false" customHeight="true" outlineLevel="0" collapsed="false">
      <c r="A80" s="8" t="n">
        <v>79</v>
      </c>
      <c r="B80" s="8" t="s">
        <v>758</v>
      </c>
      <c r="C80" s="8" t="s">
        <v>105</v>
      </c>
      <c r="D80" s="8" t="s">
        <v>799</v>
      </c>
      <c r="E80" s="8" t="s">
        <v>53</v>
      </c>
      <c r="F80" s="8" t="s">
        <v>800</v>
      </c>
      <c r="G80" s="8" t="s">
        <v>236</v>
      </c>
      <c r="H80" s="8" t="s">
        <v>110</v>
      </c>
      <c r="I80" s="8" t="s">
        <v>801</v>
      </c>
      <c r="J80" s="8" t="s">
        <v>58</v>
      </c>
      <c r="K80" s="8" t="s">
        <v>763</v>
      </c>
      <c r="L80" s="8" t="s">
        <v>802</v>
      </c>
      <c r="M80" s="8" t="s">
        <v>803</v>
      </c>
      <c r="N80" s="8" t="s">
        <v>804</v>
      </c>
      <c r="O80" s="8" t="s">
        <v>805</v>
      </c>
      <c r="P80" s="8" t="s">
        <v>241</v>
      </c>
      <c r="Q80" s="8" t="s">
        <v>65</v>
      </c>
      <c r="R80" s="8" t="s">
        <v>806</v>
      </c>
      <c r="S80" s="8" t="s">
        <v>807</v>
      </c>
      <c r="T80" s="8" t="s">
        <v>808</v>
      </c>
      <c r="U80" s="8" t="s">
        <v>88</v>
      </c>
      <c r="V80" s="8" t="s">
        <v>244</v>
      </c>
      <c r="W80" s="8" t="s">
        <v>809</v>
      </c>
      <c r="X80" s="8" t="s">
        <v>671</v>
      </c>
      <c r="Y80" s="8" t="s">
        <v>73</v>
      </c>
      <c r="Z80" s="8"/>
      <c r="AA80" s="7" t="s">
        <v>75</v>
      </c>
      <c r="AB80" s="7"/>
      <c r="AC80" s="7"/>
    </row>
    <row r="81" customFormat="false" ht="120" hidden="false" customHeight="true" outlineLevel="0" collapsed="false">
      <c r="A81" s="8" t="n">
        <v>80</v>
      </c>
      <c r="B81" s="8" t="s">
        <v>758</v>
      </c>
      <c r="C81" s="8" t="s">
        <v>105</v>
      </c>
      <c r="D81" s="8" t="s">
        <v>759</v>
      </c>
      <c r="E81" s="8" t="s">
        <v>151</v>
      </c>
      <c r="F81" s="8" t="s">
        <v>810</v>
      </c>
      <c r="G81" s="8" t="s">
        <v>761</v>
      </c>
      <c r="H81" s="8" t="s">
        <v>614</v>
      </c>
      <c r="I81" s="8" t="s">
        <v>811</v>
      </c>
      <c r="J81" s="8" t="s">
        <v>154</v>
      </c>
      <c r="K81" s="8" t="s">
        <v>763</v>
      </c>
      <c r="L81" s="8" t="s">
        <v>812</v>
      </c>
      <c r="M81" s="8" t="s">
        <v>813</v>
      </c>
      <c r="N81" s="8" t="s">
        <v>814</v>
      </c>
      <c r="O81" s="8" t="s">
        <v>815</v>
      </c>
      <c r="P81" s="8" t="s">
        <v>158</v>
      </c>
      <c r="Q81" s="8" t="s">
        <v>159</v>
      </c>
      <c r="R81" s="8" t="s">
        <v>816</v>
      </c>
      <c r="S81" s="8" t="s">
        <v>817</v>
      </c>
      <c r="T81" s="8" t="s">
        <v>818</v>
      </c>
      <c r="U81" s="8" t="s">
        <v>163</v>
      </c>
      <c r="V81" s="8" t="s">
        <v>770</v>
      </c>
      <c r="W81" s="8" t="s">
        <v>819</v>
      </c>
      <c r="X81" s="8" t="s">
        <v>772</v>
      </c>
      <c r="Y81" s="8" t="s">
        <v>623</v>
      </c>
      <c r="Z81" s="8"/>
      <c r="AA81" s="7" t="s">
        <v>75</v>
      </c>
      <c r="AB81" s="7"/>
      <c r="AC81" s="7"/>
    </row>
    <row r="82" customFormat="false" ht="120" hidden="false" customHeight="true" outlineLevel="0" collapsed="false">
      <c r="A82" s="8" t="n">
        <v>81</v>
      </c>
      <c r="B82" s="8" t="s">
        <v>758</v>
      </c>
      <c r="C82" s="8" t="s">
        <v>105</v>
      </c>
      <c r="D82" s="8" t="s">
        <v>820</v>
      </c>
      <c r="E82" s="8" t="s">
        <v>53</v>
      </c>
      <c r="F82" s="8" t="s">
        <v>821</v>
      </c>
      <c r="G82" s="8" t="s">
        <v>785</v>
      </c>
      <c r="H82" s="8" t="s">
        <v>614</v>
      </c>
      <c r="I82" s="8" t="s">
        <v>822</v>
      </c>
      <c r="J82" s="8" t="s">
        <v>58</v>
      </c>
      <c r="K82" s="8" t="s">
        <v>763</v>
      </c>
      <c r="L82" s="8" t="s">
        <v>823</v>
      </c>
      <c r="M82" s="8" t="s">
        <v>824</v>
      </c>
      <c r="N82" s="8" t="s">
        <v>825</v>
      </c>
      <c r="O82" s="8" t="s">
        <v>826</v>
      </c>
      <c r="P82" s="8" t="s">
        <v>430</v>
      </c>
      <c r="Q82" s="8" t="s">
        <v>65</v>
      </c>
      <c r="R82" s="8" t="s">
        <v>827</v>
      </c>
      <c r="S82" s="8" t="s">
        <v>828</v>
      </c>
      <c r="T82" s="8" t="s">
        <v>829</v>
      </c>
      <c r="U82" s="8" t="s">
        <v>830</v>
      </c>
      <c r="V82" s="8" t="s">
        <v>831</v>
      </c>
      <c r="W82" s="8" t="s">
        <v>832</v>
      </c>
      <c r="X82" s="8" t="s">
        <v>798</v>
      </c>
      <c r="Y82" s="8" t="s">
        <v>623</v>
      </c>
      <c r="Z82" s="8"/>
      <c r="AA82" s="7" t="s">
        <v>75</v>
      </c>
      <c r="AB82" s="7"/>
      <c r="AC82" s="7"/>
    </row>
    <row r="83" customFormat="false" ht="120" hidden="false" customHeight="true" outlineLevel="0" collapsed="false">
      <c r="A83" s="8" t="n">
        <v>82</v>
      </c>
      <c r="B83" s="8" t="s">
        <v>758</v>
      </c>
      <c r="C83" s="8" t="s">
        <v>105</v>
      </c>
      <c r="D83" s="8" t="s">
        <v>626</v>
      </c>
      <c r="E83" s="8" t="s">
        <v>53</v>
      </c>
      <c r="F83" s="8" t="s">
        <v>833</v>
      </c>
      <c r="G83" s="8" t="s">
        <v>628</v>
      </c>
      <c r="H83" s="8" t="s">
        <v>56</v>
      </c>
      <c r="I83" s="8" t="s">
        <v>834</v>
      </c>
      <c r="J83" s="8" t="s">
        <v>58</v>
      </c>
      <c r="K83" s="8" t="s">
        <v>630</v>
      </c>
      <c r="L83" s="8" t="s">
        <v>835</v>
      </c>
      <c r="M83" s="8" t="s">
        <v>836</v>
      </c>
      <c r="N83" s="8" t="s">
        <v>837</v>
      </c>
      <c r="O83" s="8" t="s">
        <v>838</v>
      </c>
      <c r="P83" s="8" t="s">
        <v>64</v>
      </c>
      <c r="Q83" s="8" t="s">
        <v>65</v>
      </c>
      <c r="R83" s="8" t="s">
        <v>839</v>
      </c>
      <c r="S83" s="8" t="s">
        <v>840</v>
      </c>
      <c r="T83" s="8" t="s">
        <v>841</v>
      </c>
      <c r="U83" s="8" t="s">
        <v>102</v>
      </c>
      <c r="V83" s="8" t="s">
        <v>638</v>
      </c>
      <c r="W83" s="8" t="s">
        <v>639</v>
      </c>
      <c r="X83" s="8" t="s">
        <v>640</v>
      </c>
      <c r="Y83" s="8" t="s">
        <v>623</v>
      </c>
      <c r="Z83" s="8"/>
      <c r="AA83" s="7" t="s">
        <v>75</v>
      </c>
      <c r="AB83" s="7"/>
      <c r="AC83" s="7"/>
    </row>
    <row r="84" customFormat="false" ht="120" hidden="false" customHeight="true" outlineLevel="0" collapsed="false">
      <c r="A84" s="8" t="n">
        <v>83</v>
      </c>
      <c r="B84" s="8" t="s">
        <v>758</v>
      </c>
      <c r="C84" s="8" t="s">
        <v>105</v>
      </c>
      <c r="D84" s="8" t="s">
        <v>679</v>
      </c>
      <c r="E84" s="8" t="s">
        <v>53</v>
      </c>
      <c r="F84" s="8" t="s">
        <v>842</v>
      </c>
      <c r="G84" s="8" t="s">
        <v>281</v>
      </c>
      <c r="H84" s="8" t="s">
        <v>110</v>
      </c>
      <c r="I84" s="8" t="s">
        <v>801</v>
      </c>
      <c r="J84" s="8" t="s">
        <v>58</v>
      </c>
      <c r="K84" s="8" t="s">
        <v>763</v>
      </c>
      <c r="L84" s="8" t="s">
        <v>843</v>
      </c>
      <c r="M84" s="8" t="s">
        <v>844</v>
      </c>
      <c r="N84" s="8" t="s">
        <v>845</v>
      </c>
      <c r="O84" s="8" t="s">
        <v>684</v>
      </c>
      <c r="P84" s="8" t="s">
        <v>390</v>
      </c>
      <c r="Q84" s="8" t="s">
        <v>65</v>
      </c>
      <c r="R84" s="8" t="s">
        <v>846</v>
      </c>
      <c r="S84" s="8" t="s">
        <v>847</v>
      </c>
      <c r="T84" s="8" t="s">
        <v>848</v>
      </c>
      <c r="U84" s="8" t="s">
        <v>393</v>
      </c>
      <c r="V84" s="8" t="s">
        <v>688</v>
      </c>
      <c r="W84" s="8" t="s">
        <v>611</v>
      </c>
      <c r="X84" s="8" t="s">
        <v>690</v>
      </c>
      <c r="Y84" s="8" t="s">
        <v>126</v>
      </c>
      <c r="Z84" s="8"/>
      <c r="AA84" s="7" t="s">
        <v>75</v>
      </c>
      <c r="AB84" s="7"/>
      <c r="AC84" s="7"/>
    </row>
    <row r="85" customFormat="false" ht="120" hidden="false" customHeight="true" outlineLevel="0" collapsed="false">
      <c r="A85" s="8" t="n">
        <v>84</v>
      </c>
      <c r="B85" s="8" t="s">
        <v>758</v>
      </c>
      <c r="C85" s="8" t="s">
        <v>105</v>
      </c>
      <c r="D85" s="8" t="s">
        <v>662</v>
      </c>
      <c r="E85" s="8" t="s">
        <v>107</v>
      </c>
      <c r="F85" s="8" t="s">
        <v>849</v>
      </c>
      <c r="G85" s="8" t="s">
        <v>236</v>
      </c>
      <c r="H85" s="8" t="s">
        <v>56</v>
      </c>
      <c r="I85" s="8" t="s">
        <v>850</v>
      </c>
      <c r="J85" s="8" t="s">
        <v>629</v>
      </c>
      <c r="K85" s="8" t="s">
        <v>630</v>
      </c>
      <c r="L85" s="8" t="s">
        <v>851</v>
      </c>
      <c r="M85" s="8" t="s">
        <v>852</v>
      </c>
      <c r="N85" s="8" t="s">
        <v>853</v>
      </c>
      <c r="O85" s="8" t="s">
        <v>854</v>
      </c>
      <c r="P85" s="8" t="s">
        <v>107</v>
      </c>
      <c r="Q85" s="8" t="s">
        <v>118</v>
      </c>
      <c r="R85" s="8" t="s">
        <v>855</v>
      </c>
      <c r="S85" s="8" t="s">
        <v>856</v>
      </c>
      <c r="T85" s="8" t="s">
        <v>670</v>
      </c>
      <c r="U85" s="8" t="s">
        <v>122</v>
      </c>
      <c r="V85" s="8" t="s">
        <v>103</v>
      </c>
      <c r="W85" s="8" t="s">
        <v>90</v>
      </c>
      <c r="X85" s="8" t="s">
        <v>671</v>
      </c>
      <c r="Y85" s="8" t="s">
        <v>73</v>
      </c>
      <c r="Z85" s="8"/>
      <c r="AA85" s="7" t="s">
        <v>75</v>
      </c>
      <c r="AB85" s="7"/>
      <c r="AC85" s="7"/>
    </row>
    <row r="86" customFormat="false" ht="120" hidden="false" customHeight="true" outlineLevel="0" collapsed="false">
      <c r="A86" s="8" t="n">
        <v>85</v>
      </c>
      <c r="B86" s="8" t="s">
        <v>758</v>
      </c>
      <c r="C86" s="8" t="s">
        <v>105</v>
      </c>
      <c r="D86" s="8" t="s">
        <v>783</v>
      </c>
      <c r="E86" s="8" t="s">
        <v>107</v>
      </c>
      <c r="F86" s="8" t="s">
        <v>857</v>
      </c>
      <c r="G86" s="8" t="s">
        <v>785</v>
      </c>
      <c r="H86" s="8" t="s">
        <v>614</v>
      </c>
      <c r="I86" s="8" t="s">
        <v>858</v>
      </c>
      <c r="J86" s="8" t="s">
        <v>629</v>
      </c>
      <c r="K86" s="8" t="s">
        <v>763</v>
      </c>
      <c r="L86" s="8" t="s">
        <v>859</v>
      </c>
      <c r="M86" s="8" t="s">
        <v>860</v>
      </c>
      <c r="N86" s="8" t="s">
        <v>861</v>
      </c>
      <c r="O86" s="8" t="s">
        <v>862</v>
      </c>
      <c r="P86" s="8" t="s">
        <v>791</v>
      </c>
      <c r="Q86" s="8" t="s">
        <v>118</v>
      </c>
      <c r="R86" s="8" t="s">
        <v>863</v>
      </c>
      <c r="S86" s="8" t="s">
        <v>864</v>
      </c>
      <c r="T86" s="8" t="s">
        <v>865</v>
      </c>
      <c r="U86" s="8" t="s">
        <v>795</v>
      </c>
      <c r="V86" s="8" t="s">
        <v>796</v>
      </c>
      <c r="W86" s="8" t="s">
        <v>797</v>
      </c>
      <c r="X86" s="8" t="s">
        <v>866</v>
      </c>
      <c r="Y86" s="8" t="s">
        <v>623</v>
      </c>
      <c r="Z86" s="8"/>
      <c r="AA86" s="7" t="s">
        <v>75</v>
      </c>
      <c r="AB86" s="7"/>
      <c r="AC86" s="7"/>
    </row>
    <row r="87" customFormat="false" ht="120" hidden="false" customHeight="true" outlineLevel="0" collapsed="false">
      <c r="A87" s="8" t="n">
        <v>86</v>
      </c>
      <c r="B87" s="8" t="s">
        <v>758</v>
      </c>
      <c r="C87" s="8" t="s">
        <v>105</v>
      </c>
      <c r="D87" s="8" t="s">
        <v>626</v>
      </c>
      <c r="E87" s="8" t="s">
        <v>151</v>
      </c>
      <c r="F87" s="8" t="s">
        <v>867</v>
      </c>
      <c r="G87" s="8" t="s">
        <v>628</v>
      </c>
      <c r="H87" s="8" t="s">
        <v>56</v>
      </c>
      <c r="I87" s="8" t="s">
        <v>868</v>
      </c>
      <c r="J87" s="8" t="s">
        <v>869</v>
      </c>
      <c r="K87" s="8" t="s">
        <v>630</v>
      </c>
      <c r="L87" s="8" t="s">
        <v>870</v>
      </c>
      <c r="M87" s="8" t="s">
        <v>871</v>
      </c>
      <c r="N87" s="8" t="s">
        <v>872</v>
      </c>
      <c r="O87" s="8" t="s">
        <v>316</v>
      </c>
      <c r="P87" s="8" t="s">
        <v>158</v>
      </c>
      <c r="Q87" s="8" t="s">
        <v>159</v>
      </c>
      <c r="R87" s="8" t="s">
        <v>873</v>
      </c>
      <c r="S87" s="8" t="s">
        <v>874</v>
      </c>
      <c r="T87" s="8" t="s">
        <v>875</v>
      </c>
      <c r="U87" s="8" t="s">
        <v>163</v>
      </c>
      <c r="V87" s="8" t="s">
        <v>638</v>
      </c>
      <c r="W87" s="8" t="s">
        <v>639</v>
      </c>
      <c r="X87" s="8" t="s">
        <v>640</v>
      </c>
      <c r="Y87" s="8" t="s">
        <v>623</v>
      </c>
      <c r="Z87" s="8"/>
      <c r="AA87" s="7" t="s">
        <v>75</v>
      </c>
      <c r="AB87" s="7"/>
      <c r="AC87" s="7"/>
    </row>
    <row r="88" customFormat="false" ht="120" hidden="false" customHeight="true" outlineLevel="0" collapsed="false">
      <c r="A88" s="6" t="n">
        <v>87</v>
      </c>
      <c r="B88" s="6" t="s">
        <v>758</v>
      </c>
      <c r="C88" s="6" t="s">
        <v>51</v>
      </c>
      <c r="D88" s="6" t="s">
        <v>76</v>
      </c>
      <c r="E88" s="6" t="s">
        <v>53</v>
      </c>
      <c r="F88" s="6" t="s">
        <v>876</v>
      </c>
      <c r="G88" s="6" t="s">
        <v>109</v>
      </c>
      <c r="H88" s="6" t="s">
        <v>614</v>
      </c>
      <c r="I88" s="6" t="s">
        <v>70</v>
      </c>
      <c r="J88" s="6" t="s">
        <v>58</v>
      </c>
      <c r="K88" s="6" t="s">
        <v>59</v>
      </c>
      <c r="L88" s="6" t="s">
        <v>877</v>
      </c>
      <c r="M88" s="6" t="s">
        <v>878</v>
      </c>
      <c r="N88" s="6" t="s">
        <v>879</v>
      </c>
      <c r="O88" s="6" t="s">
        <v>534</v>
      </c>
      <c r="P88" s="6" t="s">
        <v>535</v>
      </c>
      <c r="Q88" s="6" t="s">
        <v>99</v>
      </c>
      <c r="R88" s="6" t="s">
        <v>880</v>
      </c>
      <c r="S88" s="6" t="s">
        <v>881</v>
      </c>
      <c r="T88" s="6" t="s">
        <v>68</v>
      </c>
      <c r="U88" s="6" t="s">
        <v>232</v>
      </c>
      <c r="V88" s="6" t="s">
        <v>301</v>
      </c>
      <c r="W88" s="6" t="s">
        <v>193</v>
      </c>
      <c r="X88" s="6" t="s">
        <v>882</v>
      </c>
      <c r="Y88" s="6" t="s">
        <v>623</v>
      </c>
      <c r="Z88" s="6"/>
      <c r="AA88" s="7" t="s">
        <v>75</v>
      </c>
      <c r="AB88" s="7"/>
      <c r="AC88" s="7"/>
    </row>
    <row r="89" customFormat="false" ht="120" hidden="false" customHeight="true" outlineLevel="0" collapsed="false">
      <c r="A89" s="6" t="n">
        <v>88</v>
      </c>
      <c r="B89" s="6" t="s">
        <v>758</v>
      </c>
      <c r="C89" s="6" t="s">
        <v>51</v>
      </c>
      <c r="D89" s="6" t="s">
        <v>91</v>
      </c>
      <c r="E89" s="6" t="s">
        <v>53</v>
      </c>
      <c r="F89" s="6" t="s">
        <v>883</v>
      </c>
      <c r="G89" s="6" t="s">
        <v>77</v>
      </c>
      <c r="H89" s="6" t="s">
        <v>614</v>
      </c>
      <c r="I89" s="6" t="s">
        <v>185</v>
      </c>
      <c r="J89" s="6" t="s">
        <v>58</v>
      </c>
      <c r="K89" s="6" t="s">
        <v>59</v>
      </c>
      <c r="L89" s="6" t="s">
        <v>884</v>
      </c>
      <c r="M89" s="6" t="s">
        <v>885</v>
      </c>
      <c r="N89" s="6" t="s">
        <v>886</v>
      </c>
      <c r="O89" s="6" t="s">
        <v>887</v>
      </c>
      <c r="P89" s="6" t="s">
        <v>888</v>
      </c>
      <c r="Q89" s="6" t="s">
        <v>65</v>
      </c>
      <c r="R89" s="6" t="s">
        <v>889</v>
      </c>
      <c r="S89" s="6" t="s">
        <v>890</v>
      </c>
      <c r="T89" s="6" t="s">
        <v>68</v>
      </c>
      <c r="U89" s="6" t="s">
        <v>212</v>
      </c>
      <c r="V89" s="6" t="s">
        <v>221</v>
      </c>
      <c r="W89" s="6" t="s">
        <v>90</v>
      </c>
      <c r="X89" s="6" t="s">
        <v>891</v>
      </c>
      <c r="Y89" s="6" t="s">
        <v>623</v>
      </c>
      <c r="Z89" s="6"/>
      <c r="AA89" s="7" t="s">
        <v>75</v>
      </c>
      <c r="AB89" s="7"/>
      <c r="AC89" s="7"/>
    </row>
    <row r="90" customFormat="false" ht="120" hidden="false" customHeight="true" outlineLevel="0" collapsed="false">
      <c r="A90" s="6" t="n">
        <v>89</v>
      </c>
      <c r="B90" s="6" t="s">
        <v>758</v>
      </c>
      <c r="C90" s="6" t="s">
        <v>51</v>
      </c>
      <c r="D90" s="6" t="s">
        <v>52</v>
      </c>
      <c r="E90" s="6" t="s">
        <v>53</v>
      </c>
      <c r="F90" s="6" t="s">
        <v>892</v>
      </c>
      <c r="G90" s="6" t="s">
        <v>893</v>
      </c>
      <c r="H90" s="6" t="s">
        <v>614</v>
      </c>
      <c r="I90" s="6" t="s">
        <v>185</v>
      </c>
      <c r="J90" s="6" t="s">
        <v>58</v>
      </c>
      <c r="K90" s="6" t="s">
        <v>59</v>
      </c>
      <c r="L90" s="6" t="s">
        <v>894</v>
      </c>
      <c r="M90" s="6" t="s">
        <v>895</v>
      </c>
      <c r="N90" s="6" t="s">
        <v>896</v>
      </c>
      <c r="O90" s="6" t="s">
        <v>897</v>
      </c>
      <c r="P90" s="6" t="s">
        <v>190</v>
      </c>
      <c r="Q90" s="6" t="s">
        <v>65</v>
      </c>
      <c r="R90" s="6" t="s">
        <v>898</v>
      </c>
      <c r="S90" s="6" t="s">
        <v>899</v>
      </c>
      <c r="T90" s="6" t="s">
        <v>68</v>
      </c>
      <c r="U90" s="6" t="s">
        <v>102</v>
      </c>
      <c r="V90" s="6" t="s">
        <v>521</v>
      </c>
      <c r="W90" s="6" t="s">
        <v>301</v>
      </c>
      <c r="X90" s="6" t="s">
        <v>522</v>
      </c>
      <c r="Y90" s="6" t="s">
        <v>623</v>
      </c>
      <c r="Z90" s="6"/>
      <c r="AA90" s="7" t="s">
        <v>75</v>
      </c>
      <c r="AB90" s="7"/>
      <c r="AC90" s="7"/>
    </row>
    <row r="91" customFormat="false" ht="120" hidden="false" customHeight="true" outlineLevel="0" collapsed="false">
      <c r="A91" s="6" t="n">
        <v>90</v>
      </c>
      <c r="B91" s="6" t="s">
        <v>758</v>
      </c>
      <c r="C91" s="6" t="s">
        <v>51</v>
      </c>
      <c r="D91" s="6" t="s">
        <v>900</v>
      </c>
      <c r="E91" s="6" t="s">
        <v>53</v>
      </c>
      <c r="F91" s="6" t="s">
        <v>901</v>
      </c>
      <c r="G91" s="6" t="s">
        <v>613</v>
      </c>
      <c r="H91" s="6" t="s">
        <v>614</v>
      </c>
      <c r="I91" s="6" t="s">
        <v>185</v>
      </c>
      <c r="J91" s="6" t="s">
        <v>58</v>
      </c>
      <c r="K91" s="6" t="s">
        <v>59</v>
      </c>
      <c r="L91" s="6" t="s">
        <v>902</v>
      </c>
      <c r="M91" s="6" t="s">
        <v>903</v>
      </c>
      <c r="N91" s="6" t="s">
        <v>904</v>
      </c>
      <c r="O91" s="6" t="s">
        <v>905</v>
      </c>
      <c r="P91" s="6" t="s">
        <v>462</v>
      </c>
      <c r="Q91" s="6" t="s">
        <v>65</v>
      </c>
      <c r="R91" s="6" t="s">
        <v>906</v>
      </c>
      <c r="S91" s="6" t="s">
        <v>907</v>
      </c>
      <c r="T91" s="6" t="s">
        <v>68</v>
      </c>
      <c r="U91" s="6" t="s">
        <v>69</v>
      </c>
      <c r="V91" s="6" t="s">
        <v>621</v>
      </c>
      <c r="W91" s="6" t="s">
        <v>301</v>
      </c>
      <c r="X91" s="6" t="s">
        <v>908</v>
      </c>
      <c r="Y91" s="6" t="s">
        <v>623</v>
      </c>
      <c r="Z91" s="6" t="s">
        <v>909</v>
      </c>
      <c r="AA91" s="7" t="s">
        <v>75</v>
      </c>
      <c r="AB91" s="7"/>
      <c r="AC91" s="7"/>
    </row>
  </sheetData>
  <autoFilter ref="A1:AC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90"/>
    <col collapsed="false" customWidth="true" hidden="false" outlineLevel="0" max="4" min="4" style="0" width="40"/>
  </cols>
  <sheetData>
    <row r="1" customFormat="false" ht="15" hidden="false" customHeight="false" outlineLevel="0" collapsed="false">
      <c r="A1" s="5" t="s">
        <v>910</v>
      </c>
      <c r="B1" s="5" t="s">
        <v>384</v>
      </c>
      <c r="C1" s="5" t="s">
        <v>911</v>
      </c>
      <c r="D1" s="5" t="s">
        <v>912</v>
      </c>
    </row>
    <row r="2" customFormat="false" ht="15" hidden="false" customHeight="false" outlineLevel="0" collapsed="false">
      <c r="A2" s="6" t="s">
        <v>913</v>
      </c>
      <c r="B2" s="6" t="s">
        <v>914</v>
      </c>
      <c r="C2" s="6" t="s">
        <v>915</v>
      </c>
      <c r="D2" s="6" t="s">
        <v>916</v>
      </c>
    </row>
    <row r="3" customFormat="false" ht="15" hidden="false" customHeight="false" outlineLevel="0" collapsed="false">
      <c r="A3" s="6" t="s">
        <v>913</v>
      </c>
      <c r="B3" s="6" t="s">
        <v>917</v>
      </c>
      <c r="C3" s="6" t="s">
        <v>918</v>
      </c>
      <c r="D3" s="6" t="s">
        <v>919</v>
      </c>
    </row>
    <row r="4" customFormat="false" ht="15" hidden="false" customHeight="false" outlineLevel="0" collapsed="false">
      <c r="A4" s="6" t="s">
        <v>913</v>
      </c>
      <c r="B4" s="6" t="s">
        <v>920</v>
      </c>
      <c r="C4" s="6" t="s">
        <v>921</v>
      </c>
      <c r="D4" s="6" t="s">
        <v>922</v>
      </c>
    </row>
    <row r="5" customFormat="false" ht="15" hidden="false" customHeight="false" outlineLevel="0" collapsed="false">
      <c r="A5" s="6" t="s">
        <v>913</v>
      </c>
      <c r="B5" s="6" t="s">
        <v>923</v>
      </c>
      <c r="C5" s="6" t="s">
        <v>924</v>
      </c>
      <c r="D5" s="6" t="s">
        <v>925</v>
      </c>
    </row>
    <row r="6" customFormat="false" ht="15" hidden="false" customHeight="false" outlineLevel="0" collapsed="false">
      <c r="A6" s="6" t="s">
        <v>913</v>
      </c>
      <c r="B6" s="6" t="s">
        <v>926</v>
      </c>
      <c r="C6" s="6" t="s">
        <v>927</v>
      </c>
      <c r="D6" s="6" t="s">
        <v>928</v>
      </c>
    </row>
    <row r="7" customFormat="false" ht="23.85" hidden="false" customHeight="false" outlineLevel="0" collapsed="false">
      <c r="A7" s="6" t="s">
        <v>913</v>
      </c>
      <c r="B7" s="6" t="s">
        <v>929</v>
      </c>
      <c r="C7" s="6" t="s">
        <v>930</v>
      </c>
      <c r="D7" s="6" t="s">
        <v>931</v>
      </c>
    </row>
    <row r="8" customFormat="false" ht="15" hidden="false" customHeight="false" outlineLevel="0" collapsed="false">
      <c r="A8" s="6" t="s">
        <v>913</v>
      </c>
      <c r="B8" s="6" t="s">
        <v>932</v>
      </c>
      <c r="C8" s="6" t="s">
        <v>933</v>
      </c>
      <c r="D8" s="6" t="s">
        <v>934</v>
      </c>
    </row>
    <row r="9" customFormat="false" ht="15" hidden="false" customHeight="false" outlineLevel="0" collapsed="false">
      <c r="A9" s="6" t="s">
        <v>913</v>
      </c>
      <c r="B9" s="6" t="s">
        <v>935</v>
      </c>
      <c r="C9" s="6" t="s">
        <v>936</v>
      </c>
      <c r="D9" s="6" t="s">
        <v>937</v>
      </c>
    </row>
    <row r="10" customFormat="false" ht="23.85" hidden="false" customHeight="false" outlineLevel="0" collapsed="false">
      <c r="A10" s="6" t="s">
        <v>938</v>
      </c>
      <c r="B10" s="6" t="s">
        <v>939</v>
      </c>
      <c r="C10" s="6" t="s">
        <v>940</v>
      </c>
      <c r="D10" s="6" t="s">
        <v>941</v>
      </c>
    </row>
    <row r="11" customFormat="false" ht="15" hidden="false" customHeight="false" outlineLevel="0" collapsed="false">
      <c r="A11" s="6" t="s">
        <v>938</v>
      </c>
      <c r="B11" s="6" t="s">
        <v>942</v>
      </c>
      <c r="C11" s="6" t="s">
        <v>943</v>
      </c>
      <c r="D11" s="6" t="s">
        <v>944</v>
      </c>
    </row>
    <row r="12" customFormat="false" ht="15" hidden="false" customHeight="false" outlineLevel="0" collapsed="false">
      <c r="A12" s="6" t="s">
        <v>938</v>
      </c>
      <c r="B12" s="6" t="s">
        <v>945</v>
      </c>
      <c r="C12" s="6" t="s">
        <v>946</v>
      </c>
      <c r="D12" s="6" t="s">
        <v>947</v>
      </c>
    </row>
    <row r="13" customFormat="false" ht="15" hidden="false" customHeight="false" outlineLevel="0" collapsed="false">
      <c r="A13" s="6" t="s">
        <v>938</v>
      </c>
      <c r="B13" s="6" t="s">
        <v>948</v>
      </c>
      <c r="C13" s="6" t="s">
        <v>949</v>
      </c>
      <c r="D13" s="6" t="s">
        <v>950</v>
      </c>
    </row>
    <row r="14" customFormat="false" ht="15" hidden="false" customHeight="false" outlineLevel="0" collapsed="false">
      <c r="A14" s="6" t="s">
        <v>938</v>
      </c>
      <c r="B14" s="6" t="s">
        <v>951</v>
      </c>
      <c r="C14" s="6" t="s">
        <v>952</v>
      </c>
      <c r="D14" s="6" t="s">
        <v>953</v>
      </c>
    </row>
    <row r="15" customFormat="false" ht="15" hidden="false" customHeight="false" outlineLevel="0" collapsed="false">
      <c r="A15" s="6" t="s">
        <v>938</v>
      </c>
      <c r="B15" s="6" t="s">
        <v>954</v>
      </c>
      <c r="C15" s="6" t="s">
        <v>955</v>
      </c>
      <c r="D15" s="6" t="s">
        <v>956</v>
      </c>
    </row>
    <row r="16" customFormat="false" ht="15" hidden="false" customHeight="false" outlineLevel="0" collapsed="false">
      <c r="A16" s="6" t="s">
        <v>938</v>
      </c>
      <c r="B16" s="6" t="s">
        <v>957</v>
      </c>
      <c r="C16" s="6" t="s">
        <v>958</v>
      </c>
      <c r="D16" s="6" t="s">
        <v>959</v>
      </c>
    </row>
    <row r="17" customFormat="false" ht="15" hidden="false" customHeight="false" outlineLevel="0" collapsed="false">
      <c r="A17" s="6" t="s">
        <v>938</v>
      </c>
      <c r="B17" s="6" t="s">
        <v>960</v>
      </c>
      <c r="C17" s="6" t="s">
        <v>961</v>
      </c>
      <c r="D17" s="6" t="s">
        <v>962</v>
      </c>
    </row>
    <row r="18" customFormat="false" ht="15" hidden="false" customHeight="false" outlineLevel="0" collapsed="false">
      <c r="A18" s="6" t="s">
        <v>938</v>
      </c>
      <c r="B18" s="6" t="s">
        <v>963</v>
      </c>
      <c r="C18" s="6" t="s">
        <v>964</v>
      </c>
      <c r="D18" s="6" t="s">
        <v>962</v>
      </c>
    </row>
    <row r="19" customFormat="false" ht="15" hidden="false" customHeight="false" outlineLevel="0" collapsed="false">
      <c r="A19" s="6" t="s">
        <v>938</v>
      </c>
      <c r="B19" s="6" t="s">
        <v>965</v>
      </c>
      <c r="C19" s="6" t="s">
        <v>966</v>
      </c>
      <c r="D19" s="6" t="s">
        <v>967</v>
      </c>
    </row>
    <row r="20" customFormat="false" ht="15" hidden="false" customHeight="false" outlineLevel="0" collapsed="false">
      <c r="A20" s="6" t="s">
        <v>938</v>
      </c>
      <c r="B20" s="6" t="s">
        <v>968</v>
      </c>
      <c r="C20" s="6" t="s">
        <v>969</v>
      </c>
      <c r="D20" s="6" t="s">
        <v>970</v>
      </c>
    </row>
    <row r="21" customFormat="false" ht="15" hidden="false" customHeight="false" outlineLevel="0" collapsed="false">
      <c r="A21" s="6" t="s">
        <v>971</v>
      </c>
      <c r="B21" s="6" t="s">
        <v>972</v>
      </c>
      <c r="C21" s="6" t="s">
        <v>973</v>
      </c>
      <c r="D21" s="6" t="s">
        <v>974</v>
      </c>
    </row>
    <row r="22" customFormat="false" ht="15" hidden="false" customHeight="false" outlineLevel="0" collapsed="false">
      <c r="A22" s="6" t="s">
        <v>971</v>
      </c>
      <c r="B22" s="6" t="s">
        <v>975</v>
      </c>
      <c r="C22" s="6" t="s">
        <v>976</v>
      </c>
      <c r="D22" s="6" t="s">
        <v>977</v>
      </c>
    </row>
    <row r="23" customFormat="false" ht="15" hidden="false" customHeight="false" outlineLevel="0" collapsed="false">
      <c r="A23" s="6" t="s">
        <v>971</v>
      </c>
      <c r="B23" s="6" t="s">
        <v>978</v>
      </c>
      <c r="C23" s="6" t="s">
        <v>979</v>
      </c>
      <c r="D23" s="6" t="s">
        <v>980</v>
      </c>
    </row>
    <row r="24" customFormat="false" ht="15" hidden="false" customHeight="false" outlineLevel="0" collapsed="false">
      <c r="A24" s="6" t="s">
        <v>971</v>
      </c>
      <c r="B24" s="6" t="s">
        <v>981</v>
      </c>
      <c r="C24" s="6" t="s">
        <v>982</v>
      </c>
      <c r="D24" s="6" t="s">
        <v>983</v>
      </c>
    </row>
    <row r="25" customFormat="false" ht="15" hidden="false" customHeight="false" outlineLevel="0" collapsed="false">
      <c r="A25" s="6" t="s">
        <v>971</v>
      </c>
      <c r="B25" s="6" t="s">
        <v>984</v>
      </c>
      <c r="C25" s="6" t="s">
        <v>985</v>
      </c>
      <c r="D25" s="6" t="s">
        <v>986</v>
      </c>
    </row>
    <row r="26" customFormat="false" ht="23.85" hidden="false" customHeight="false" outlineLevel="0" collapsed="false">
      <c r="A26" s="6" t="s">
        <v>971</v>
      </c>
      <c r="B26" s="6" t="s">
        <v>987</v>
      </c>
      <c r="C26" s="6" t="s">
        <v>988</v>
      </c>
      <c r="D26" s="6" t="s">
        <v>989</v>
      </c>
    </row>
    <row r="27" customFormat="false" ht="15" hidden="false" customHeight="false" outlineLevel="0" collapsed="false">
      <c r="A27" s="6" t="s">
        <v>971</v>
      </c>
      <c r="B27" s="6" t="s">
        <v>990</v>
      </c>
      <c r="C27" s="6" t="s">
        <v>991</v>
      </c>
      <c r="D27" s="6" t="s">
        <v>992</v>
      </c>
    </row>
    <row r="28" customFormat="false" ht="15" hidden="false" customHeight="false" outlineLevel="0" collapsed="false">
      <c r="A28" s="6" t="s">
        <v>993</v>
      </c>
      <c r="B28" s="6" t="s">
        <v>994</v>
      </c>
      <c r="C28" s="6" t="s">
        <v>995</v>
      </c>
      <c r="D28" s="6" t="s">
        <v>68</v>
      </c>
    </row>
    <row r="29" customFormat="false" ht="15" hidden="false" customHeight="false" outlineLevel="0" collapsed="false">
      <c r="A29" s="6" t="s">
        <v>993</v>
      </c>
      <c r="B29" s="6" t="s">
        <v>996</v>
      </c>
      <c r="C29" s="6" t="s">
        <v>997</v>
      </c>
      <c r="D29" s="6" t="s">
        <v>68</v>
      </c>
    </row>
    <row r="31" customFormat="false" ht="15" hidden="false" customHeight="false" outlineLevel="0" collapsed="false">
      <c r="A31" s="9" t="s">
        <v>998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4"/>
    <col collapsed="false" customWidth="true" hidden="false" outlineLevel="0" max="6" min="6" style="0" width="10"/>
    <col collapsed="false" customWidth="true" hidden="false" outlineLevel="0" max="7" min="7" style="0" width="14"/>
    <col collapsed="false" customWidth="true" hidden="false" outlineLevel="0" max="8" min="8" style="0" width="10"/>
  </cols>
  <sheetData>
    <row r="1" customFormat="false" ht="15" hidden="false" customHeight="false" outlineLevel="0" collapsed="false">
      <c r="A1" s="10" t="s">
        <v>999</v>
      </c>
    </row>
    <row r="3" customFormat="false" ht="23.85" hidden="false" customHeight="false" outlineLevel="0" collapsed="false">
      <c r="A3" s="5" t="s">
        <v>1000</v>
      </c>
      <c r="B3" s="5" t="s">
        <v>1001</v>
      </c>
      <c r="C3" s="5" t="s">
        <v>1002</v>
      </c>
      <c r="D3" s="5" t="s">
        <v>78</v>
      </c>
      <c r="E3" s="5" t="s">
        <v>1003</v>
      </c>
      <c r="F3" s="5" t="s">
        <v>1004</v>
      </c>
      <c r="G3" s="5" t="s">
        <v>785</v>
      </c>
      <c r="H3" s="5" t="s">
        <v>1005</v>
      </c>
    </row>
    <row r="4" customFormat="false" ht="15" hidden="false" customHeight="false" outlineLevel="0" collapsed="false">
      <c r="A4" s="2" t="s">
        <v>1006</v>
      </c>
      <c r="B4" s="11" t="n">
        <v>30000</v>
      </c>
      <c r="C4" s="12" t="n">
        <f aca="false">B4/30*7</f>
        <v>7000</v>
      </c>
      <c r="D4" s="12" t="n">
        <f aca="false">$B4*B$13</f>
        <v>6000</v>
      </c>
      <c r="E4" s="12" t="n">
        <f aca="false">$B4*C$13</f>
        <v>18000</v>
      </c>
      <c r="F4" s="12" t="n">
        <f aca="false">$B4*D$13</f>
        <v>4500</v>
      </c>
      <c r="G4" s="12" t="n">
        <f aca="false">$B4*E$13</f>
        <v>1500</v>
      </c>
      <c r="H4" s="0" t="str">
        <f aca="false">IF(ROUND(SUM(D4:G4)-B4,0)=0,"OK","CHECK")</f>
        <v>OK</v>
      </c>
    </row>
    <row r="5" customFormat="false" ht="15" hidden="false" customHeight="false" outlineLevel="0" collapsed="false">
      <c r="A5" s="2" t="s">
        <v>1007</v>
      </c>
      <c r="B5" s="11" t="n">
        <v>100000</v>
      </c>
      <c r="C5" s="12" t="n">
        <f aca="false">B5/30*7</f>
        <v>23333.3333333333</v>
      </c>
      <c r="D5" s="12" t="n">
        <f aca="false">$B5*B$13</f>
        <v>20000</v>
      </c>
      <c r="E5" s="12" t="n">
        <f aca="false">$B5*C$13</f>
        <v>60000</v>
      </c>
      <c r="F5" s="12" t="n">
        <f aca="false">$B5*D$13</f>
        <v>15000</v>
      </c>
      <c r="G5" s="12" t="n">
        <f aca="false">$B5*E$13</f>
        <v>5000</v>
      </c>
      <c r="H5" s="0" t="str">
        <f aca="false">IF(ROUND(SUM(D5:G5)-B5,0)=0,"OK","CHECK")</f>
        <v>OK</v>
      </c>
    </row>
    <row r="6" customFormat="false" ht="15" hidden="false" customHeight="false" outlineLevel="0" collapsed="false">
      <c r="A6" s="2" t="s">
        <v>1008</v>
      </c>
      <c r="B6" s="11" t="n">
        <v>300000</v>
      </c>
      <c r="C6" s="12" t="n">
        <f aca="false">B6/30*7</f>
        <v>70000</v>
      </c>
      <c r="D6" s="12" t="n">
        <f aca="false">$B6*B$13</f>
        <v>60000</v>
      </c>
      <c r="E6" s="12" t="n">
        <f aca="false">$B6*C$13</f>
        <v>180000</v>
      </c>
      <c r="F6" s="12" t="n">
        <f aca="false">$B6*D$13</f>
        <v>45000</v>
      </c>
      <c r="G6" s="12" t="n">
        <f aca="false">$B6*E$13</f>
        <v>15000</v>
      </c>
      <c r="H6" s="0" t="str">
        <f aca="false">IF(ROUND(SUM(D6:G6)-B6,0)=0,"OK","CHECK")</f>
        <v>OK</v>
      </c>
    </row>
    <row r="9" customFormat="false" ht="15" hidden="false" customHeight="false" outlineLevel="0" collapsed="false">
      <c r="A9" s="3" t="s">
        <v>1009</v>
      </c>
    </row>
    <row r="10" customFormat="false" ht="15" hidden="false" customHeight="false" outlineLevel="0" collapsed="false">
      <c r="A10" s="5" t="s">
        <v>25</v>
      </c>
      <c r="B10" s="5" t="s">
        <v>78</v>
      </c>
      <c r="C10" s="5" t="s">
        <v>1003</v>
      </c>
      <c r="D10" s="5" t="s">
        <v>1004</v>
      </c>
      <c r="E10" s="5" t="s">
        <v>785</v>
      </c>
      <c r="F10" s="5" t="s">
        <v>1010</v>
      </c>
    </row>
    <row r="11" customFormat="false" ht="15" hidden="false" customHeight="false" outlineLevel="0" collapsed="false">
      <c r="A11" s="2" t="s">
        <v>1011</v>
      </c>
      <c r="B11" s="13" t="n">
        <v>0.1</v>
      </c>
      <c r="C11" s="13" t="n">
        <v>0.9</v>
      </c>
      <c r="D11" s="13" t="n">
        <v>0</v>
      </c>
      <c r="E11" s="13" t="n">
        <v>0</v>
      </c>
      <c r="F11" s="14" t="n">
        <f aca="false">SUM(B11:E11)</f>
        <v>1</v>
      </c>
    </row>
    <row r="12" customFormat="false" ht="15" hidden="false" customHeight="false" outlineLevel="0" collapsed="false">
      <c r="A12" s="2" t="s">
        <v>1012</v>
      </c>
      <c r="B12" s="13" t="n">
        <v>0.15</v>
      </c>
      <c r="C12" s="13" t="n">
        <v>0.75</v>
      </c>
      <c r="D12" s="13" t="n">
        <v>0.1</v>
      </c>
      <c r="E12" s="13" t="n">
        <v>0</v>
      </c>
      <c r="F12" s="14" t="n">
        <f aca="false">SUM(B12:E12)</f>
        <v>1</v>
      </c>
    </row>
    <row r="13" customFormat="false" ht="15" hidden="false" customHeight="false" outlineLevel="0" collapsed="false">
      <c r="A13" s="2" t="s">
        <v>1013</v>
      </c>
      <c r="B13" s="13" t="n">
        <v>0.2</v>
      </c>
      <c r="C13" s="13" t="n">
        <v>0.6</v>
      </c>
      <c r="D13" s="13" t="n">
        <v>0.15</v>
      </c>
      <c r="E13" s="13" t="n">
        <v>0.05</v>
      </c>
      <c r="F13" s="14" t="n">
        <f aca="false">SUM(B13:E13)</f>
        <v>1</v>
      </c>
    </row>
    <row r="14" customFormat="false" ht="15" hidden="false" customHeight="false" outlineLevel="0" collapsed="false">
      <c r="A14" s="2" t="s">
        <v>1014</v>
      </c>
      <c r="B14" s="13" t="n">
        <v>0.3</v>
      </c>
      <c r="C14" s="13" t="n">
        <v>0.45</v>
      </c>
      <c r="D14" s="13" t="n">
        <v>0.15</v>
      </c>
      <c r="E14" s="13" t="n">
        <v>0.1</v>
      </c>
      <c r="F14" s="14" t="n">
        <f aca="false">SUM(B14:E14)</f>
        <v>1</v>
      </c>
    </row>
    <row r="15" customFormat="false" ht="15" hidden="false" customHeight="false" outlineLevel="0" collapsed="false">
      <c r="A15" s="2" t="s">
        <v>1015</v>
      </c>
      <c r="B15" s="13" t="n">
        <v>0.2</v>
      </c>
      <c r="C15" s="13" t="n">
        <v>0.5</v>
      </c>
      <c r="D15" s="13" t="n">
        <v>0.15</v>
      </c>
      <c r="E15" s="13" t="n">
        <v>0.15</v>
      </c>
      <c r="F15" s="14" t="n">
        <f aca="false">SUM(B15:E15)</f>
        <v>1</v>
      </c>
    </row>
    <row r="18" customFormat="false" ht="15" hidden="false" customHeight="false" outlineLevel="0" collapsed="false">
      <c r="A18" s="9" t="s">
        <v>1016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2"/>
    <col collapsed="false" customWidth="true" hidden="false" outlineLevel="0" max="5" min="4" style="0" width="10"/>
    <col collapsed="false" customWidth="true" hidden="false" outlineLevel="0" max="6" min="6" style="0" width="8"/>
    <col collapsed="false" customWidth="true" hidden="false" outlineLevel="0" max="10" min="7" style="0" width="10"/>
    <col collapsed="false" customWidth="true" hidden="false" outlineLevel="0" max="11" min="11" style="0" width="8"/>
    <col collapsed="false" customWidth="true" hidden="false" outlineLevel="0" max="12" min="12" style="0" width="10"/>
    <col collapsed="false" customWidth="true" hidden="false" outlineLevel="0" max="13" min="13" style="0" width="14"/>
    <col collapsed="false" customWidth="true" hidden="false" outlineLevel="0" max="16" min="14" style="0" width="10"/>
    <col collapsed="false" customWidth="true" hidden="false" outlineLevel="0" max="18" min="17" style="0" width="14"/>
  </cols>
  <sheetData>
    <row r="1" customFormat="false" ht="15" hidden="false" customHeight="false" outlineLevel="0" collapsed="false">
      <c r="A1" s="10" t="s">
        <v>1017</v>
      </c>
    </row>
    <row r="3" customFormat="false" ht="23.85" hidden="false" customHeight="false" outlineLevel="0" collapsed="false">
      <c r="A3" s="5" t="s">
        <v>1018</v>
      </c>
      <c r="B3" s="5" t="s">
        <v>28</v>
      </c>
      <c r="C3" s="5" t="s">
        <v>1019</v>
      </c>
      <c r="D3" s="5" t="s">
        <v>89</v>
      </c>
      <c r="E3" s="5" t="s">
        <v>193</v>
      </c>
      <c r="F3" s="5" t="s">
        <v>301</v>
      </c>
      <c r="G3" s="5" t="s">
        <v>1020</v>
      </c>
      <c r="H3" s="5" t="s">
        <v>1021</v>
      </c>
      <c r="I3" s="5" t="s">
        <v>1022</v>
      </c>
      <c r="J3" s="5" t="s">
        <v>1023</v>
      </c>
      <c r="K3" s="5" t="s">
        <v>124</v>
      </c>
      <c r="L3" s="5" t="s">
        <v>1024</v>
      </c>
      <c r="M3" s="5" t="s">
        <v>123</v>
      </c>
      <c r="N3" s="5" t="s">
        <v>1025</v>
      </c>
      <c r="O3" s="5" t="s">
        <v>1026</v>
      </c>
      <c r="P3" s="5" t="s">
        <v>1027</v>
      </c>
      <c r="Q3" s="5" t="s">
        <v>797</v>
      </c>
      <c r="R3" s="5" t="s">
        <v>1028</v>
      </c>
    </row>
    <row r="4" customFormat="false" ht="15" hidden="false" customHeight="false" outlineLevel="0" collapsed="false">
      <c r="A4" s="15" t="n">
        <v>1</v>
      </c>
      <c r="B4" s="15" t="s">
        <v>107</v>
      </c>
      <c r="C4" s="16" t="n">
        <v>15000</v>
      </c>
      <c r="D4" s="15" t="n">
        <v>42000</v>
      </c>
      <c r="E4" s="15" t="n">
        <v>620</v>
      </c>
      <c r="F4" s="15" t="n">
        <v>48</v>
      </c>
      <c r="G4" s="15" t="n">
        <v>26</v>
      </c>
      <c r="H4" s="15" t="n">
        <v>19</v>
      </c>
      <c r="I4" s="15" t="n">
        <v>4</v>
      </c>
      <c r="J4" s="15" t="n">
        <v>1</v>
      </c>
      <c r="K4" s="17" t="n">
        <f aca="false">IF(D4=0,"-",E4/D4)</f>
        <v>0.0147619047619048</v>
      </c>
      <c r="L4" s="18" t="n">
        <f aca="false">IF(F4=0,"-",C4/F4)</f>
        <v>312.5</v>
      </c>
      <c r="M4" s="18" t="n">
        <f aca="false">IF(G4=0,"-",C4/G4)</f>
        <v>576.923076923077</v>
      </c>
      <c r="N4" s="17" t="n">
        <f aca="false">IF(F4=0,"-",G4/F4)</f>
        <v>0.541666666666667</v>
      </c>
      <c r="O4" s="17" t="n">
        <f aca="false">IF(G4=0,"-",H4/G4)</f>
        <v>0.730769230769231</v>
      </c>
      <c r="P4" s="17" t="n">
        <f aca="false">IF(H4=0,"-",I4/H4)</f>
        <v>0.210526315789474</v>
      </c>
      <c r="Q4" s="18" t="n">
        <f aca="false">IF(I4=0,"-",C4/I4)</f>
        <v>3750</v>
      </c>
      <c r="R4" s="18" t="n">
        <f aca="false">IF(J4=0,"-",C4/J4)</f>
        <v>15000</v>
      </c>
    </row>
    <row r="5" customFormat="false" ht="15" hidden="false" customHeight="false" outlineLevel="0" collapsed="false">
      <c r="A5" s="15"/>
      <c r="B5" s="15"/>
      <c r="C5" s="15"/>
      <c r="D5" s="15"/>
      <c r="E5" s="15"/>
      <c r="F5" s="15"/>
      <c r="G5" s="15"/>
      <c r="H5" s="15"/>
      <c r="I5" s="15"/>
      <c r="J5" s="15"/>
      <c r="K5" s="17" t="str">
        <f aca="false">IF(D5=0,"-",E5/D5)</f>
        <v>-</v>
      </c>
      <c r="L5" s="18" t="str">
        <f aca="false">IF(F5=0,"-",C5/F5)</f>
        <v>-</v>
      </c>
      <c r="M5" s="18" t="str">
        <f aca="false">IF(G5=0,"-",C5/G5)</f>
        <v>-</v>
      </c>
      <c r="N5" s="17" t="str">
        <f aca="false">IF(F5=0,"-",G5/F5)</f>
        <v>-</v>
      </c>
      <c r="O5" s="17" t="str">
        <f aca="false">IF(G5=0,"-",H5/G5)</f>
        <v>-</v>
      </c>
      <c r="P5" s="17" t="str">
        <f aca="false">IF(H5=0,"-",I5/H5)</f>
        <v>-</v>
      </c>
      <c r="Q5" s="18" t="str">
        <f aca="false">IF(I5=0,"-",C5/I5)</f>
        <v>-</v>
      </c>
      <c r="R5" s="18" t="str">
        <f aca="false">IF(J5=0,"-",C5/J5)</f>
        <v>-</v>
      </c>
    </row>
    <row r="6" customFormat="false" ht="15" hidden="false" customHeight="false" outlineLevel="0" collapsed="false">
      <c r="A6" s="15"/>
      <c r="B6" s="15"/>
      <c r="C6" s="15"/>
      <c r="D6" s="15"/>
      <c r="E6" s="15"/>
      <c r="F6" s="15"/>
      <c r="G6" s="15"/>
      <c r="H6" s="15"/>
      <c r="I6" s="15"/>
      <c r="J6" s="15"/>
      <c r="K6" s="17" t="str">
        <f aca="false">IF(D6=0,"-",E6/D6)</f>
        <v>-</v>
      </c>
      <c r="L6" s="18" t="str">
        <f aca="false">IF(F6=0,"-",C6/F6)</f>
        <v>-</v>
      </c>
      <c r="M6" s="18" t="str">
        <f aca="false">IF(G6=0,"-",C6/G6)</f>
        <v>-</v>
      </c>
      <c r="N6" s="17" t="str">
        <f aca="false">IF(F6=0,"-",G6/F6)</f>
        <v>-</v>
      </c>
      <c r="O6" s="17" t="str">
        <f aca="false">IF(G6=0,"-",H6/G6)</f>
        <v>-</v>
      </c>
      <c r="P6" s="17" t="str">
        <f aca="false">IF(H6=0,"-",I6/H6)</f>
        <v>-</v>
      </c>
      <c r="Q6" s="18" t="str">
        <f aca="false">IF(I6=0,"-",C6/I6)</f>
        <v>-</v>
      </c>
      <c r="R6" s="18" t="str">
        <f aca="false">IF(J6=0,"-",C6/J6)</f>
        <v>-</v>
      </c>
    </row>
    <row r="7" customFormat="false" ht="15" hidden="false" customHeight="false" outlineLevel="0" collapsed="false">
      <c r="A7" s="15"/>
      <c r="B7" s="15"/>
      <c r="C7" s="15"/>
      <c r="D7" s="15"/>
      <c r="E7" s="15"/>
      <c r="F7" s="15"/>
      <c r="G7" s="15"/>
      <c r="H7" s="15"/>
      <c r="I7" s="15"/>
      <c r="J7" s="15"/>
      <c r="K7" s="17" t="str">
        <f aca="false">IF(D7=0,"-",E7/D7)</f>
        <v>-</v>
      </c>
      <c r="L7" s="18" t="str">
        <f aca="false">IF(F7=0,"-",C7/F7)</f>
        <v>-</v>
      </c>
      <c r="M7" s="18" t="str">
        <f aca="false">IF(G7=0,"-",C7/G7)</f>
        <v>-</v>
      </c>
      <c r="N7" s="17" t="str">
        <f aca="false">IF(F7=0,"-",G7/F7)</f>
        <v>-</v>
      </c>
      <c r="O7" s="17" t="str">
        <f aca="false">IF(G7=0,"-",H7/G7)</f>
        <v>-</v>
      </c>
      <c r="P7" s="17" t="str">
        <f aca="false">IF(H7=0,"-",I7/H7)</f>
        <v>-</v>
      </c>
      <c r="Q7" s="18" t="str">
        <f aca="false">IF(I7=0,"-",C7/I7)</f>
        <v>-</v>
      </c>
      <c r="R7" s="18" t="str">
        <f aca="false">IF(J7=0,"-",C7/J7)</f>
        <v>-</v>
      </c>
    </row>
    <row r="8" customFormat="false" ht="15" hidden="false" customHeight="false" outlineLevel="0" collapsed="false">
      <c r="A8" s="15"/>
      <c r="B8" s="15"/>
      <c r="C8" s="15"/>
      <c r="D8" s="15"/>
      <c r="E8" s="15"/>
      <c r="F8" s="15"/>
      <c r="G8" s="15"/>
      <c r="H8" s="15"/>
      <c r="I8" s="15"/>
      <c r="J8" s="15"/>
      <c r="K8" s="17" t="str">
        <f aca="false">IF(D8=0,"-",E8/D8)</f>
        <v>-</v>
      </c>
      <c r="L8" s="18" t="str">
        <f aca="false">IF(F8=0,"-",C8/F8)</f>
        <v>-</v>
      </c>
      <c r="M8" s="18" t="str">
        <f aca="false">IF(G8=0,"-",C8/G8)</f>
        <v>-</v>
      </c>
      <c r="N8" s="17" t="str">
        <f aca="false">IF(F8=0,"-",G8/F8)</f>
        <v>-</v>
      </c>
      <c r="O8" s="17" t="str">
        <f aca="false">IF(G8=0,"-",H8/G8)</f>
        <v>-</v>
      </c>
      <c r="P8" s="17" t="str">
        <f aca="false">IF(H8=0,"-",I8/H8)</f>
        <v>-</v>
      </c>
      <c r="Q8" s="18" t="str">
        <f aca="false">IF(I8=0,"-",C8/I8)</f>
        <v>-</v>
      </c>
      <c r="R8" s="18" t="str">
        <f aca="false">IF(J8=0,"-",C8/J8)</f>
        <v>-</v>
      </c>
    </row>
    <row r="9" customFormat="false" ht="15" hidden="false" customHeight="false" outlineLevel="0" collapsed="false">
      <c r="A9" s="15"/>
      <c r="B9" s="15"/>
      <c r="C9" s="15"/>
      <c r="D9" s="15"/>
      <c r="E9" s="15"/>
      <c r="F9" s="15"/>
      <c r="G9" s="15"/>
      <c r="H9" s="15"/>
      <c r="I9" s="15"/>
      <c r="J9" s="15"/>
      <c r="K9" s="17" t="str">
        <f aca="false">IF(D9=0,"-",E9/D9)</f>
        <v>-</v>
      </c>
      <c r="L9" s="18" t="str">
        <f aca="false">IF(F9=0,"-",C9/F9)</f>
        <v>-</v>
      </c>
      <c r="M9" s="18" t="str">
        <f aca="false">IF(G9=0,"-",C9/G9)</f>
        <v>-</v>
      </c>
      <c r="N9" s="17" t="str">
        <f aca="false">IF(F9=0,"-",G9/F9)</f>
        <v>-</v>
      </c>
      <c r="O9" s="17" t="str">
        <f aca="false">IF(G9=0,"-",H9/G9)</f>
        <v>-</v>
      </c>
      <c r="P9" s="17" t="str">
        <f aca="false">IF(H9=0,"-",I9/H9)</f>
        <v>-</v>
      </c>
      <c r="Q9" s="18" t="str">
        <f aca="false">IF(I9=0,"-",C9/I9)</f>
        <v>-</v>
      </c>
      <c r="R9" s="18" t="str">
        <f aca="false">IF(J9=0,"-",C9/J9)</f>
        <v>-</v>
      </c>
    </row>
    <row r="10" customFormat="false" ht="15" hidden="false" customHeight="false" outlineLevel="0" collapsed="false">
      <c r="A10" s="15"/>
      <c r="B10" s="15"/>
      <c r="C10" s="15"/>
      <c r="D10" s="15"/>
      <c r="E10" s="15"/>
      <c r="F10" s="15"/>
      <c r="G10" s="15"/>
      <c r="H10" s="15"/>
      <c r="I10" s="15"/>
      <c r="J10" s="15"/>
      <c r="K10" s="17" t="str">
        <f aca="false">IF(D10=0,"-",E10/D10)</f>
        <v>-</v>
      </c>
      <c r="L10" s="18" t="str">
        <f aca="false">IF(F10=0,"-",C10/F10)</f>
        <v>-</v>
      </c>
      <c r="M10" s="18" t="str">
        <f aca="false">IF(G10=0,"-",C10/G10)</f>
        <v>-</v>
      </c>
      <c r="N10" s="17" t="str">
        <f aca="false">IF(F10=0,"-",G10/F10)</f>
        <v>-</v>
      </c>
      <c r="O10" s="17" t="str">
        <f aca="false">IF(G10=0,"-",H10/G10)</f>
        <v>-</v>
      </c>
      <c r="P10" s="17" t="str">
        <f aca="false">IF(H10=0,"-",I10/H10)</f>
        <v>-</v>
      </c>
      <c r="Q10" s="18" t="str">
        <f aca="false">IF(I10=0,"-",C10/I10)</f>
        <v>-</v>
      </c>
      <c r="R10" s="18" t="str">
        <f aca="false">IF(J10=0,"-",C10/J10)</f>
        <v>-</v>
      </c>
    </row>
    <row r="11" customFormat="false" ht="15" hidden="false" customHeight="false" outlineLevel="0" collapsed="false">
      <c r="A11" s="15"/>
      <c r="B11" s="15"/>
      <c r="C11" s="15"/>
      <c r="D11" s="15"/>
      <c r="E11" s="15"/>
      <c r="F11" s="15"/>
      <c r="G11" s="15"/>
      <c r="H11" s="15"/>
      <c r="I11" s="15"/>
      <c r="J11" s="15"/>
      <c r="K11" s="17" t="str">
        <f aca="false">IF(D11=0,"-",E11/D11)</f>
        <v>-</v>
      </c>
      <c r="L11" s="18" t="str">
        <f aca="false">IF(F11=0,"-",C11/F11)</f>
        <v>-</v>
      </c>
      <c r="M11" s="18" t="str">
        <f aca="false">IF(G11=0,"-",C11/G11)</f>
        <v>-</v>
      </c>
      <c r="N11" s="17" t="str">
        <f aca="false">IF(F11=0,"-",G11/F11)</f>
        <v>-</v>
      </c>
      <c r="O11" s="17" t="str">
        <f aca="false">IF(G11=0,"-",H11/G11)</f>
        <v>-</v>
      </c>
      <c r="P11" s="17" t="str">
        <f aca="false">IF(H11=0,"-",I11/H11)</f>
        <v>-</v>
      </c>
      <c r="Q11" s="18" t="str">
        <f aca="false">IF(I11=0,"-",C11/I11)</f>
        <v>-</v>
      </c>
      <c r="R11" s="18" t="str">
        <f aca="false">IF(J11=0,"-",C11/J11)</f>
        <v>-</v>
      </c>
    </row>
    <row r="12" customFormat="false" ht="15" hidden="false" customHeight="false" outlineLevel="0" collapsed="false">
      <c r="A12" s="15"/>
      <c r="B12" s="15"/>
      <c r="C12" s="15"/>
      <c r="D12" s="15"/>
      <c r="E12" s="15"/>
      <c r="F12" s="15"/>
      <c r="G12" s="15"/>
      <c r="H12" s="15"/>
      <c r="I12" s="15"/>
      <c r="J12" s="15"/>
      <c r="K12" s="17" t="str">
        <f aca="false">IF(D12=0,"-",E12/D12)</f>
        <v>-</v>
      </c>
      <c r="L12" s="18" t="str">
        <f aca="false">IF(F12=0,"-",C12/F12)</f>
        <v>-</v>
      </c>
      <c r="M12" s="18" t="str">
        <f aca="false">IF(G12=0,"-",C12/G12)</f>
        <v>-</v>
      </c>
      <c r="N12" s="17" t="str">
        <f aca="false">IF(F12=0,"-",G12/F12)</f>
        <v>-</v>
      </c>
      <c r="O12" s="17" t="str">
        <f aca="false">IF(G12=0,"-",H12/G12)</f>
        <v>-</v>
      </c>
      <c r="P12" s="17" t="str">
        <f aca="false">IF(H12=0,"-",I12/H12)</f>
        <v>-</v>
      </c>
      <c r="Q12" s="18" t="str">
        <f aca="false">IF(I12=0,"-",C12/I12)</f>
        <v>-</v>
      </c>
      <c r="R12" s="18" t="str">
        <f aca="false">IF(J12=0,"-",C12/J12)</f>
        <v>-</v>
      </c>
    </row>
    <row r="13" customFormat="false" ht="15" hidden="false" customHeight="false" outlineLevel="0" collapsed="false">
      <c r="A13" s="15"/>
      <c r="B13" s="15"/>
      <c r="C13" s="15"/>
      <c r="D13" s="15"/>
      <c r="E13" s="15"/>
      <c r="F13" s="15"/>
      <c r="G13" s="15"/>
      <c r="H13" s="15"/>
      <c r="I13" s="15"/>
      <c r="J13" s="15"/>
      <c r="K13" s="17" t="str">
        <f aca="false">IF(D13=0,"-",E13/D13)</f>
        <v>-</v>
      </c>
      <c r="L13" s="18" t="str">
        <f aca="false">IF(F13=0,"-",C13/F13)</f>
        <v>-</v>
      </c>
      <c r="M13" s="18" t="str">
        <f aca="false">IF(G13=0,"-",C13/G13)</f>
        <v>-</v>
      </c>
      <c r="N13" s="17" t="str">
        <f aca="false">IF(F13=0,"-",G13/F13)</f>
        <v>-</v>
      </c>
      <c r="O13" s="17" t="str">
        <f aca="false">IF(G13=0,"-",H13/G13)</f>
        <v>-</v>
      </c>
      <c r="P13" s="17" t="str">
        <f aca="false">IF(H13=0,"-",I13/H13)</f>
        <v>-</v>
      </c>
      <c r="Q13" s="18" t="str">
        <f aca="false">IF(I13=0,"-",C13/I13)</f>
        <v>-</v>
      </c>
      <c r="R13" s="18" t="str">
        <f aca="false">IF(J13=0,"-",C13/J13)</f>
        <v>-</v>
      </c>
    </row>
    <row r="14" customFormat="false" ht="15" hidden="false" customHeight="false" outlineLevel="0" collapsed="false">
      <c r="A14" s="15"/>
      <c r="B14" s="15"/>
      <c r="C14" s="15"/>
      <c r="D14" s="15"/>
      <c r="E14" s="15"/>
      <c r="F14" s="15"/>
      <c r="G14" s="15"/>
      <c r="H14" s="15"/>
      <c r="I14" s="15"/>
      <c r="J14" s="15"/>
      <c r="K14" s="17" t="str">
        <f aca="false">IF(D14=0,"-",E14/D14)</f>
        <v>-</v>
      </c>
      <c r="L14" s="18" t="str">
        <f aca="false">IF(F14=0,"-",C14/F14)</f>
        <v>-</v>
      </c>
      <c r="M14" s="18" t="str">
        <f aca="false">IF(G14=0,"-",C14/G14)</f>
        <v>-</v>
      </c>
      <c r="N14" s="17" t="str">
        <f aca="false">IF(F14=0,"-",G14/F14)</f>
        <v>-</v>
      </c>
      <c r="O14" s="17" t="str">
        <f aca="false">IF(G14=0,"-",H14/G14)</f>
        <v>-</v>
      </c>
      <c r="P14" s="17" t="str">
        <f aca="false">IF(H14=0,"-",I14/H14)</f>
        <v>-</v>
      </c>
      <c r="Q14" s="18" t="str">
        <f aca="false">IF(I14=0,"-",C14/I14)</f>
        <v>-</v>
      </c>
      <c r="R14" s="18" t="str">
        <f aca="false">IF(J14=0,"-",C14/J14)</f>
        <v>-</v>
      </c>
    </row>
    <row r="15" customFormat="false" ht="15" hidden="false" customHeight="false" outlineLevel="0" collapsed="false">
      <c r="A15" s="15"/>
      <c r="B15" s="15"/>
      <c r="C15" s="15"/>
      <c r="D15" s="15"/>
      <c r="E15" s="15"/>
      <c r="F15" s="15"/>
      <c r="G15" s="15"/>
      <c r="H15" s="15"/>
      <c r="I15" s="15"/>
      <c r="J15" s="15"/>
      <c r="K15" s="17" t="str">
        <f aca="false">IF(D15=0,"-",E15/D15)</f>
        <v>-</v>
      </c>
      <c r="L15" s="18" t="str">
        <f aca="false">IF(F15=0,"-",C15/F15)</f>
        <v>-</v>
      </c>
      <c r="M15" s="18" t="str">
        <f aca="false">IF(G15=0,"-",C15/G15)</f>
        <v>-</v>
      </c>
      <c r="N15" s="17" t="str">
        <f aca="false">IF(F15=0,"-",G15/F15)</f>
        <v>-</v>
      </c>
      <c r="O15" s="17" t="str">
        <f aca="false">IF(G15=0,"-",H15/G15)</f>
        <v>-</v>
      </c>
      <c r="P15" s="17" t="str">
        <f aca="false">IF(H15=0,"-",I15/H15)</f>
        <v>-</v>
      </c>
      <c r="Q15" s="18" t="str">
        <f aca="false">IF(I15=0,"-",C15/I15)</f>
        <v>-</v>
      </c>
      <c r="R15" s="18" t="str">
        <f aca="false">IF(J15=0,"-",C15/J15)</f>
        <v>-</v>
      </c>
    </row>
    <row r="16" customFormat="false" ht="15" hidden="false" customHeight="false" outlineLevel="0" collapsed="false">
      <c r="A16" s="15"/>
      <c r="B16" s="15"/>
      <c r="C16" s="15"/>
      <c r="D16" s="15"/>
      <c r="E16" s="15"/>
      <c r="F16" s="15"/>
      <c r="G16" s="15"/>
      <c r="H16" s="15"/>
      <c r="I16" s="15"/>
      <c r="J16" s="15"/>
      <c r="K16" s="17" t="str">
        <f aca="false">IF(D16=0,"-",E16/D16)</f>
        <v>-</v>
      </c>
      <c r="L16" s="18" t="str">
        <f aca="false">IF(F16=0,"-",C16/F16)</f>
        <v>-</v>
      </c>
      <c r="M16" s="18" t="str">
        <f aca="false">IF(G16=0,"-",C16/G16)</f>
        <v>-</v>
      </c>
      <c r="N16" s="17" t="str">
        <f aca="false">IF(F16=0,"-",G16/F16)</f>
        <v>-</v>
      </c>
      <c r="O16" s="17" t="str">
        <f aca="false">IF(G16=0,"-",H16/G16)</f>
        <v>-</v>
      </c>
      <c r="P16" s="17" t="str">
        <f aca="false">IF(H16=0,"-",I16/H16)</f>
        <v>-</v>
      </c>
      <c r="Q16" s="18" t="str">
        <f aca="false">IF(I16=0,"-",C16/I16)</f>
        <v>-</v>
      </c>
      <c r="R16" s="18" t="str">
        <f aca="false">IF(J16=0,"-",C16/J16)</f>
        <v>-</v>
      </c>
    </row>
    <row r="17" customFormat="false" ht="15" hidden="false" customHeight="false" outlineLevel="0" collapsed="false">
      <c r="A17" s="15"/>
      <c r="B17" s="15"/>
      <c r="C17" s="15"/>
      <c r="D17" s="15"/>
      <c r="E17" s="15"/>
      <c r="F17" s="15"/>
      <c r="G17" s="15"/>
      <c r="H17" s="15"/>
      <c r="I17" s="15"/>
      <c r="J17" s="15"/>
      <c r="K17" s="17" t="str">
        <f aca="false">IF(D17=0,"-",E17/D17)</f>
        <v>-</v>
      </c>
      <c r="L17" s="18" t="str">
        <f aca="false">IF(F17=0,"-",C17/F17)</f>
        <v>-</v>
      </c>
      <c r="M17" s="18" t="str">
        <f aca="false">IF(G17=0,"-",C17/G17)</f>
        <v>-</v>
      </c>
      <c r="N17" s="17" t="str">
        <f aca="false">IF(F17=0,"-",G17/F17)</f>
        <v>-</v>
      </c>
      <c r="O17" s="17" t="str">
        <f aca="false">IF(G17=0,"-",H17/G17)</f>
        <v>-</v>
      </c>
      <c r="P17" s="17" t="str">
        <f aca="false">IF(H17=0,"-",I17/H17)</f>
        <v>-</v>
      </c>
      <c r="Q17" s="18" t="str">
        <f aca="false">IF(I17=0,"-",C17/I17)</f>
        <v>-</v>
      </c>
      <c r="R17" s="18" t="str">
        <f aca="false">IF(J17=0,"-",C17/J17)</f>
        <v>-</v>
      </c>
    </row>
    <row r="18" customFormat="false" ht="15" hidden="false" customHeight="false" outlineLevel="0" collapsed="false">
      <c r="A18" s="15"/>
      <c r="B18" s="15"/>
      <c r="C18" s="15"/>
      <c r="D18" s="15"/>
      <c r="E18" s="15"/>
      <c r="F18" s="15"/>
      <c r="G18" s="15"/>
      <c r="H18" s="15"/>
      <c r="I18" s="15"/>
      <c r="J18" s="15"/>
      <c r="K18" s="17" t="str">
        <f aca="false">IF(D18=0,"-",E18/D18)</f>
        <v>-</v>
      </c>
      <c r="L18" s="18" t="str">
        <f aca="false">IF(F18=0,"-",C18/F18)</f>
        <v>-</v>
      </c>
      <c r="M18" s="18" t="str">
        <f aca="false">IF(G18=0,"-",C18/G18)</f>
        <v>-</v>
      </c>
      <c r="N18" s="17" t="str">
        <f aca="false">IF(F18=0,"-",G18/F18)</f>
        <v>-</v>
      </c>
      <c r="O18" s="17" t="str">
        <f aca="false">IF(G18=0,"-",H18/G18)</f>
        <v>-</v>
      </c>
      <c r="P18" s="17" t="str">
        <f aca="false">IF(H18=0,"-",I18/H18)</f>
        <v>-</v>
      </c>
      <c r="Q18" s="18" t="str">
        <f aca="false">IF(I18=0,"-",C18/I18)</f>
        <v>-</v>
      </c>
      <c r="R18" s="18" t="str">
        <f aca="false">IF(J18=0,"-",C18/J18)</f>
        <v>-</v>
      </c>
    </row>
    <row r="19" customFormat="false" ht="15" hidden="false" customHeight="false" outlineLevel="0" collapsed="false">
      <c r="A19" s="15"/>
      <c r="B19" s="15"/>
      <c r="C19" s="15"/>
      <c r="D19" s="15"/>
      <c r="E19" s="15"/>
      <c r="F19" s="15"/>
      <c r="G19" s="15"/>
      <c r="H19" s="15"/>
      <c r="I19" s="15"/>
      <c r="J19" s="15"/>
      <c r="K19" s="17" t="str">
        <f aca="false">IF(D19=0,"-",E19/D19)</f>
        <v>-</v>
      </c>
      <c r="L19" s="18" t="str">
        <f aca="false">IF(F19=0,"-",C19/F19)</f>
        <v>-</v>
      </c>
      <c r="M19" s="18" t="str">
        <f aca="false">IF(G19=0,"-",C19/G19)</f>
        <v>-</v>
      </c>
      <c r="N19" s="17" t="str">
        <f aca="false">IF(F19=0,"-",G19/F19)</f>
        <v>-</v>
      </c>
      <c r="O19" s="17" t="str">
        <f aca="false">IF(G19=0,"-",H19/G19)</f>
        <v>-</v>
      </c>
      <c r="P19" s="17" t="str">
        <f aca="false">IF(H19=0,"-",I19/H19)</f>
        <v>-</v>
      </c>
      <c r="Q19" s="18" t="str">
        <f aca="false">IF(I19=0,"-",C19/I19)</f>
        <v>-</v>
      </c>
      <c r="R19" s="18" t="str">
        <f aca="false">IF(J19=0,"-",C19/J19)</f>
        <v>-</v>
      </c>
    </row>
    <row r="20" customFormat="false" ht="15" hidden="false" customHeight="false" outlineLevel="0" collapsed="false">
      <c r="A20" s="15"/>
      <c r="B20" s="15"/>
      <c r="C20" s="15"/>
      <c r="D20" s="15"/>
      <c r="E20" s="15"/>
      <c r="F20" s="15"/>
      <c r="G20" s="15"/>
      <c r="H20" s="15"/>
      <c r="I20" s="15"/>
      <c r="J20" s="15"/>
      <c r="K20" s="17" t="str">
        <f aca="false">IF(D20=0,"-",E20/D20)</f>
        <v>-</v>
      </c>
      <c r="L20" s="18" t="str">
        <f aca="false">IF(F20=0,"-",C20/F20)</f>
        <v>-</v>
      </c>
      <c r="M20" s="18" t="str">
        <f aca="false">IF(G20=0,"-",C20/G20)</f>
        <v>-</v>
      </c>
      <c r="N20" s="17" t="str">
        <f aca="false">IF(F20=0,"-",G20/F20)</f>
        <v>-</v>
      </c>
      <c r="O20" s="17" t="str">
        <f aca="false">IF(G20=0,"-",H20/G20)</f>
        <v>-</v>
      </c>
      <c r="P20" s="17" t="str">
        <f aca="false">IF(H20=0,"-",I20/H20)</f>
        <v>-</v>
      </c>
      <c r="Q20" s="18" t="str">
        <f aca="false">IF(I20=0,"-",C20/I20)</f>
        <v>-</v>
      </c>
      <c r="R20" s="18" t="str">
        <f aca="false">IF(J20=0,"-",C20/J20)</f>
        <v>-</v>
      </c>
    </row>
    <row r="21" customFormat="false" ht="15" hidden="false" customHeight="false" outlineLevel="0" collapsed="false">
      <c r="A21" s="15"/>
      <c r="B21" s="15"/>
      <c r="C21" s="15"/>
      <c r="D21" s="15"/>
      <c r="E21" s="15"/>
      <c r="F21" s="15"/>
      <c r="G21" s="15"/>
      <c r="H21" s="15"/>
      <c r="I21" s="15"/>
      <c r="J21" s="15"/>
      <c r="K21" s="17" t="str">
        <f aca="false">IF(D21=0,"-",E21/D21)</f>
        <v>-</v>
      </c>
      <c r="L21" s="18" t="str">
        <f aca="false">IF(F21=0,"-",C21/F21)</f>
        <v>-</v>
      </c>
      <c r="M21" s="18" t="str">
        <f aca="false">IF(G21=0,"-",C21/G21)</f>
        <v>-</v>
      </c>
      <c r="N21" s="17" t="str">
        <f aca="false">IF(F21=0,"-",G21/F21)</f>
        <v>-</v>
      </c>
      <c r="O21" s="17" t="str">
        <f aca="false">IF(G21=0,"-",H21/G21)</f>
        <v>-</v>
      </c>
      <c r="P21" s="17" t="str">
        <f aca="false">IF(H21=0,"-",I21/H21)</f>
        <v>-</v>
      </c>
      <c r="Q21" s="18" t="str">
        <f aca="false">IF(I21=0,"-",C21/I21)</f>
        <v>-</v>
      </c>
      <c r="R21" s="18" t="str">
        <f aca="false">IF(J21=0,"-",C21/J21)</f>
        <v>-</v>
      </c>
    </row>
    <row r="22" customFormat="false" ht="15" hidden="false" customHeight="false" outlineLevel="0" collapsed="false">
      <c r="A22" s="15"/>
      <c r="B22" s="15"/>
      <c r="C22" s="15"/>
      <c r="D22" s="15"/>
      <c r="E22" s="15"/>
      <c r="F22" s="15"/>
      <c r="G22" s="15"/>
      <c r="H22" s="15"/>
      <c r="I22" s="15"/>
      <c r="J22" s="15"/>
      <c r="K22" s="17" t="str">
        <f aca="false">IF(D22=0,"-",E22/D22)</f>
        <v>-</v>
      </c>
      <c r="L22" s="18" t="str">
        <f aca="false">IF(F22=0,"-",C22/F22)</f>
        <v>-</v>
      </c>
      <c r="M22" s="18" t="str">
        <f aca="false">IF(G22=0,"-",C22/G22)</f>
        <v>-</v>
      </c>
      <c r="N22" s="17" t="str">
        <f aca="false">IF(F22=0,"-",G22/F22)</f>
        <v>-</v>
      </c>
      <c r="O22" s="17" t="str">
        <f aca="false">IF(G22=0,"-",H22/G22)</f>
        <v>-</v>
      </c>
      <c r="P22" s="17" t="str">
        <f aca="false">IF(H22=0,"-",I22/H22)</f>
        <v>-</v>
      </c>
      <c r="Q22" s="18" t="str">
        <f aca="false">IF(I22=0,"-",C22/I22)</f>
        <v>-</v>
      </c>
      <c r="R22" s="18" t="str">
        <f aca="false">IF(J22=0,"-",C22/J22)</f>
        <v>-</v>
      </c>
    </row>
    <row r="23" customFormat="false" ht="15" hidden="false" customHeight="false" outlineLevel="0" collapsed="false">
      <c r="A23" s="15"/>
      <c r="B23" s="15"/>
      <c r="C23" s="15"/>
      <c r="D23" s="15"/>
      <c r="E23" s="15"/>
      <c r="F23" s="15"/>
      <c r="G23" s="15"/>
      <c r="H23" s="15"/>
      <c r="I23" s="15"/>
      <c r="J23" s="15"/>
      <c r="K23" s="17" t="str">
        <f aca="false">IF(D23=0,"-",E23/D23)</f>
        <v>-</v>
      </c>
      <c r="L23" s="18" t="str">
        <f aca="false">IF(F23=0,"-",C23/F23)</f>
        <v>-</v>
      </c>
      <c r="M23" s="18" t="str">
        <f aca="false">IF(G23=0,"-",C23/G23)</f>
        <v>-</v>
      </c>
      <c r="N23" s="17" t="str">
        <f aca="false">IF(F23=0,"-",G23/F23)</f>
        <v>-</v>
      </c>
      <c r="O23" s="17" t="str">
        <f aca="false">IF(G23=0,"-",H23/G23)</f>
        <v>-</v>
      </c>
      <c r="P23" s="17" t="str">
        <f aca="false">IF(H23=0,"-",I23/H23)</f>
        <v>-</v>
      </c>
      <c r="Q23" s="18" t="str">
        <f aca="false">IF(I23=0,"-",C23/I23)</f>
        <v>-</v>
      </c>
      <c r="R23" s="18" t="str">
        <f aca="false">IF(J23=0,"-",C23/J23)</f>
        <v>-</v>
      </c>
    </row>
    <row r="24" customFormat="false" ht="15" hidden="false" customHeight="false" outlineLevel="0" collapsed="false">
      <c r="A24" s="15"/>
      <c r="B24" s="15"/>
      <c r="C24" s="15"/>
      <c r="D24" s="15"/>
      <c r="E24" s="15"/>
      <c r="F24" s="15"/>
      <c r="G24" s="15"/>
      <c r="H24" s="15"/>
      <c r="I24" s="15"/>
      <c r="J24" s="15"/>
      <c r="K24" s="17" t="str">
        <f aca="false">IF(D24=0,"-",E24/D24)</f>
        <v>-</v>
      </c>
      <c r="L24" s="18" t="str">
        <f aca="false">IF(F24=0,"-",C24/F24)</f>
        <v>-</v>
      </c>
      <c r="M24" s="18" t="str">
        <f aca="false">IF(G24=0,"-",C24/G24)</f>
        <v>-</v>
      </c>
      <c r="N24" s="17" t="str">
        <f aca="false">IF(F24=0,"-",G24/F24)</f>
        <v>-</v>
      </c>
      <c r="O24" s="17" t="str">
        <f aca="false">IF(G24=0,"-",H24/G24)</f>
        <v>-</v>
      </c>
      <c r="P24" s="17" t="str">
        <f aca="false">IF(H24=0,"-",I24/H24)</f>
        <v>-</v>
      </c>
      <c r="Q24" s="18" t="str">
        <f aca="false">IF(I24=0,"-",C24/I24)</f>
        <v>-</v>
      </c>
      <c r="R24" s="18" t="str">
        <f aca="false">IF(J24=0,"-",C24/J24)</f>
        <v>-</v>
      </c>
    </row>
    <row r="25" customFormat="false" ht="15" hidden="false" customHeight="false" outlineLevel="0" collapsed="false">
      <c r="A25" s="15"/>
      <c r="B25" s="15"/>
      <c r="C25" s="15"/>
      <c r="D25" s="15"/>
      <c r="E25" s="15"/>
      <c r="F25" s="15"/>
      <c r="G25" s="15"/>
      <c r="H25" s="15"/>
      <c r="I25" s="15"/>
      <c r="J25" s="15"/>
      <c r="K25" s="17" t="str">
        <f aca="false">IF(D25=0,"-",E25/D25)</f>
        <v>-</v>
      </c>
      <c r="L25" s="18" t="str">
        <f aca="false">IF(F25=0,"-",C25/F25)</f>
        <v>-</v>
      </c>
      <c r="M25" s="18" t="str">
        <f aca="false">IF(G25=0,"-",C25/G25)</f>
        <v>-</v>
      </c>
      <c r="N25" s="17" t="str">
        <f aca="false">IF(F25=0,"-",G25/F25)</f>
        <v>-</v>
      </c>
      <c r="O25" s="17" t="str">
        <f aca="false">IF(G25=0,"-",H25/G25)</f>
        <v>-</v>
      </c>
      <c r="P25" s="17" t="str">
        <f aca="false">IF(H25=0,"-",I25/H25)</f>
        <v>-</v>
      </c>
      <c r="Q25" s="18" t="str">
        <f aca="false">IF(I25=0,"-",C25/I25)</f>
        <v>-</v>
      </c>
      <c r="R25" s="18" t="str">
        <f aca="false">IF(J25=0,"-",C25/J25)</f>
        <v>-</v>
      </c>
    </row>
    <row r="26" customFormat="false" ht="15" hidden="false" customHeight="false" outlineLevel="0" collapsed="false">
      <c r="A26" s="15"/>
      <c r="B26" s="15"/>
      <c r="C26" s="15"/>
      <c r="D26" s="15"/>
      <c r="E26" s="15"/>
      <c r="F26" s="15"/>
      <c r="G26" s="15"/>
      <c r="H26" s="15"/>
      <c r="I26" s="15"/>
      <c r="J26" s="15"/>
      <c r="K26" s="17" t="str">
        <f aca="false">IF(D26=0,"-",E26/D26)</f>
        <v>-</v>
      </c>
      <c r="L26" s="18" t="str">
        <f aca="false">IF(F26=0,"-",C26/F26)</f>
        <v>-</v>
      </c>
      <c r="M26" s="18" t="str">
        <f aca="false">IF(G26=0,"-",C26/G26)</f>
        <v>-</v>
      </c>
      <c r="N26" s="17" t="str">
        <f aca="false">IF(F26=0,"-",G26/F26)</f>
        <v>-</v>
      </c>
      <c r="O26" s="17" t="str">
        <f aca="false">IF(G26=0,"-",H26/G26)</f>
        <v>-</v>
      </c>
      <c r="P26" s="17" t="str">
        <f aca="false">IF(H26=0,"-",I26/H26)</f>
        <v>-</v>
      </c>
      <c r="Q26" s="18" t="str">
        <f aca="false">IF(I26=0,"-",C26/I26)</f>
        <v>-</v>
      </c>
      <c r="R26" s="18" t="str">
        <f aca="false">IF(J26=0,"-",C26/J26)</f>
        <v>-</v>
      </c>
    </row>
    <row r="27" customFormat="false" ht="15" hidden="false" customHeight="false" outlineLevel="0" collapsed="false">
      <c r="A27" s="15"/>
      <c r="B27" s="15"/>
      <c r="C27" s="15"/>
      <c r="D27" s="15"/>
      <c r="E27" s="15"/>
      <c r="F27" s="15"/>
      <c r="G27" s="15"/>
      <c r="H27" s="15"/>
      <c r="I27" s="15"/>
      <c r="J27" s="15"/>
      <c r="K27" s="17" t="str">
        <f aca="false">IF(D27=0,"-",E27/D27)</f>
        <v>-</v>
      </c>
      <c r="L27" s="18" t="str">
        <f aca="false">IF(F27=0,"-",C27/F27)</f>
        <v>-</v>
      </c>
      <c r="M27" s="18" t="str">
        <f aca="false">IF(G27=0,"-",C27/G27)</f>
        <v>-</v>
      </c>
      <c r="N27" s="17" t="str">
        <f aca="false">IF(F27=0,"-",G27/F27)</f>
        <v>-</v>
      </c>
      <c r="O27" s="17" t="str">
        <f aca="false">IF(G27=0,"-",H27/G27)</f>
        <v>-</v>
      </c>
      <c r="P27" s="17" t="str">
        <f aca="false">IF(H27=0,"-",I27/H27)</f>
        <v>-</v>
      </c>
      <c r="Q27" s="18" t="str">
        <f aca="false">IF(I27=0,"-",C27/I27)</f>
        <v>-</v>
      </c>
      <c r="R27" s="18" t="str">
        <f aca="false">IF(J27=0,"-",C27/J27)</f>
        <v>-</v>
      </c>
    </row>
    <row r="28" customFormat="false" ht="15" hidden="false" customHeight="false" outlineLevel="0" collapsed="false">
      <c r="A28" s="15"/>
      <c r="B28" s="15"/>
      <c r="C28" s="15"/>
      <c r="D28" s="15"/>
      <c r="E28" s="15"/>
      <c r="F28" s="15"/>
      <c r="G28" s="15"/>
      <c r="H28" s="15"/>
      <c r="I28" s="15"/>
      <c r="J28" s="15"/>
      <c r="K28" s="17" t="str">
        <f aca="false">IF(D28=0,"-",E28/D28)</f>
        <v>-</v>
      </c>
      <c r="L28" s="18" t="str">
        <f aca="false">IF(F28=0,"-",C28/F28)</f>
        <v>-</v>
      </c>
      <c r="M28" s="18" t="str">
        <f aca="false">IF(G28=0,"-",C28/G28)</f>
        <v>-</v>
      </c>
      <c r="N28" s="17" t="str">
        <f aca="false">IF(F28=0,"-",G28/F28)</f>
        <v>-</v>
      </c>
      <c r="O28" s="17" t="str">
        <f aca="false">IF(G28=0,"-",H28/G28)</f>
        <v>-</v>
      </c>
      <c r="P28" s="17" t="str">
        <f aca="false">IF(H28=0,"-",I28/H28)</f>
        <v>-</v>
      </c>
      <c r="Q28" s="18" t="str">
        <f aca="false">IF(I28=0,"-",C28/I28)</f>
        <v>-</v>
      </c>
      <c r="R28" s="18" t="str">
        <f aca="false">IF(J28=0,"-",C28/J28)</f>
        <v>-</v>
      </c>
    </row>
    <row r="29" customFormat="false" ht="15" hidden="false" customHeight="false" outlineLevel="0" collapsed="false">
      <c r="A29" s="15"/>
      <c r="B29" s="15"/>
      <c r="C29" s="15"/>
      <c r="D29" s="15"/>
      <c r="E29" s="15"/>
      <c r="F29" s="15"/>
      <c r="G29" s="15"/>
      <c r="H29" s="15"/>
      <c r="I29" s="15"/>
      <c r="J29" s="15"/>
      <c r="K29" s="17" t="str">
        <f aca="false">IF(D29=0,"-",E29/D29)</f>
        <v>-</v>
      </c>
      <c r="L29" s="18" t="str">
        <f aca="false">IF(F29=0,"-",C29/F29)</f>
        <v>-</v>
      </c>
      <c r="M29" s="18" t="str">
        <f aca="false">IF(G29=0,"-",C29/G29)</f>
        <v>-</v>
      </c>
      <c r="N29" s="17" t="str">
        <f aca="false">IF(F29=0,"-",G29/F29)</f>
        <v>-</v>
      </c>
      <c r="O29" s="17" t="str">
        <f aca="false">IF(G29=0,"-",H29/G29)</f>
        <v>-</v>
      </c>
      <c r="P29" s="17" t="str">
        <f aca="false">IF(H29=0,"-",I29/H29)</f>
        <v>-</v>
      </c>
      <c r="Q29" s="18" t="str">
        <f aca="false">IF(I29=0,"-",C29/I29)</f>
        <v>-</v>
      </c>
      <c r="R29" s="18" t="str">
        <f aca="false">IF(J29=0,"-",C29/J29)</f>
        <v>-</v>
      </c>
    </row>
    <row r="30" customFormat="false" ht="15" hidden="false" customHeight="false" outlineLevel="0" collapsed="false">
      <c r="A30" s="15"/>
      <c r="B30" s="15"/>
      <c r="C30" s="15"/>
      <c r="D30" s="15"/>
      <c r="E30" s="15"/>
      <c r="F30" s="15"/>
      <c r="G30" s="15"/>
      <c r="H30" s="15"/>
      <c r="I30" s="15"/>
      <c r="J30" s="15"/>
      <c r="K30" s="17" t="str">
        <f aca="false">IF(D30=0,"-",E30/D30)</f>
        <v>-</v>
      </c>
      <c r="L30" s="18" t="str">
        <f aca="false">IF(F30=0,"-",C30/F30)</f>
        <v>-</v>
      </c>
      <c r="M30" s="18" t="str">
        <f aca="false">IF(G30=0,"-",C30/G30)</f>
        <v>-</v>
      </c>
      <c r="N30" s="17" t="str">
        <f aca="false">IF(F30=0,"-",G30/F30)</f>
        <v>-</v>
      </c>
      <c r="O30" s="17" t="str">
        <f aca="false">IF(G30=0,"-",H30/G30)</f>
        <v>-</v>
      </c>
      <c r="P30" s="17" t="str">
        <f aca="false">IF(H30=0,"-",I30/H30)</f>
        <v>-</v>
      </c>
      <c r="Q30" s="18" t="str">
        <f aca="false">IF(I30=0,"-",C30/I30)</f>
        <v>-</v>
      </c>
      <c r="R30" s="18" t="str">
        <f aca="false">IF(J30=0,"-",C30/J30)</f>
        <v>-</v>
      </c>
    </row>
    <row r="31" customFormat="false" ht="15" hidden="false" customHeight="false" outlineLevel="0" collapsed="false">
      <c r="A31" s="15"/>
      <c r="B31" s="15"/>
      <c r="C31" s="15"/>
      <c r="D31" s="15"/>
      <c r="E31" s="15"/>
      <c r="F31" s="15"/>
      <c r="G31" s="15"/>
      <c r="H31" s="15"/>
      <c r="I31" s="15"/>
      <c r="J31" s="15"/>
      <c r="K31" s="17" t="str">
        <f aca="false">IF(D31=0,"-",E31/D31)</f>
        <v>-</v>
      </c>
      <c r="L31" s="18" t="str">
        <f aca="false">IF(F31=0,"-",C31/F31)</f>
        <v>-</v>
      </c>
      <c r="M31" s="18" t="str">
        <f aca="false">IF(G31=0,"-",C31/G31)</f>
        <v>-</v>
      </c>
      <c r="N31" s="17" t="str">
        <f aca="false">IF(F31=0,"-",G31/F31)</f>
        <v>-</v>
      </c>
      <c r="O31" s="17" t="str">
        <f aca="false">IF(G31=0,"-",H31/G31)</f>
        <v>-</v>
      </c>
      <c r="P31" s="17" t="str">
        <f aca="false">IF(H31=0,"-",I31/H31)</f>
        <v>-</v>
      </c>
      <c r="Q31" s="18" t="str">
        <f aca="false">IF(I31=0,"-",C31/I31)</f>
        <v>-</v>
      </c>
      <c r="R31" s="18" t="str">
        <f aca="false">IF(J31=0,"-",C31/J31)</f>
        <v>-</v>
      </c>
    </row>
    <row r="32" customFormat="false" ht="15" hidden="false" customHeight="false" outlineLevel="0" collapsed="false">
      <c r="A32" s="15"/>
      <c r="B32" s="15"/>
      <c r="C32" s="15"/>
      <c r="D32" s="15"/>
      <c r="E32" s="15"/>
      <c r="F32" s="15"/>
      <c r="G32" s="15"/>
      <c r="H32" s="15"/>
      <c r="I32" s="15"/>
      <c r="J32" s="15"/>
      <c r="K32" s="17" t="str">
        <f aca="false">IF(D32=0,"-",E32/D32)</f>
        <v>-</v>
      </c>
      <c r="L32" s="18" t="str">
        <f aca="false">IF(F32=0,"-",C32/F32)</f>
        <v>-</v>
      </c>
      <c r="M32" s="18" t="str">
        <f aca="false">IF(G32=0,"-",C32/G32)</f>
        <v>-</v>
      </c>
      <c r="N32" s="17" t="str">
        <f aca="false">IF(F32=0,"-",G32/F32)</f>
        <v>-</v>
      </c>
      <c r="O32" s="17" t="str">
        <f aca="false">IF(G32=0,"-",H32/G32)</f>
        <v>-</v>
      </c>
      <c r="P32" s="17" t="str">
        <f aca="false">IF(H32=0,"-",I32/H32)</f>
        <v>-</v>
      </c>
      <c r="Q32" s="18" t="str">
        <f aca="false">IF(I32=0,"-",C32/I32)</f>
        <v>-</v>
      </c>
      <c r="R32" s="18" t="str">
        <f aca="false">IF(J32=0,"-",C32/J32)</f>
        <v>-</v>
      </c>
    </row>
    <row r="33" customFormat="false" ht="15" hidden="false" customHeight="false" outlineLevel="0" collapsed="false">
      <c r="A33" s="15"/>
      <c r="B33" s="15"/>
      <c r="C33" s="15"/>
      <c r="D33" s="15"/>
      <c r="E33" s="15"/>
      <c r="F33" s="15"/>
      <c r="G33" s="15"/>
      <c r="H33" s="15"/>
      <c r="I33" s="15"/>
      <c r="J33" s="15"/>
      <c r="K33" s="17" t="str">
        <f aca="false">IF(D33=0,"-",E33/D33)</f>
        <v>-</v>
      </c>
      <c r="L33" s="18" t="str">
        <f aca="false">IF(F33=0,"-",C33/F33)</f>
        <v>-</v>
      </c>
      <c r="M33" s="18" t="str">
        <f aca="false">IF(G33=0,"-",C33/G33)</f>
        <v>-</v>
      </c>
      <c r="N33" s="17" t="str">
        <f aca="false">IF(F33=0,"-",G33/F33)</f>
        <v>-</v>
      </c>
      <c r="O33" s="17" t="str">
        <f aca="false">IF(G33=0,"-",H33/G33)</f>
        <v>-</v>
      </c>
      <c r="P33" s="17" t="str">
        <f aca="false">IF(H33=0,"-",I33/H33)</f>
        <v>-</v>
      </c>
      <c r="Q33" s="18" t="str">
        <f aca="false">IF(I33=0,"-",C33/I33)</f>
        <v>-</v>
      </c>
      <c r="R33" s="18" t="str">
        <f aca="false">IF(J33=0,"-",C33/J33)</f>
        <v>-</v>
      </c>
    </row>
    <row r="34" customFormat="false" ht="15" hidden="false" customHeight="false" outlineLevel="0" collapsed="false">
      <c r="A34" s="15"/>
      <c r="B34" s="15"/>
      <c r="C34" s="15"/>
      <c r="D34" s="15"/>
      <c r="E34" s="15"/>
      <c r="F34" s="15"/>
      <c r="G34" s="15"/>
      <c r="H34" s="15"/>
      <c r="I34" s="15"/>
      <c r="J34" s="15"/>
      <c r="K34" s="17" t="str">
        <f aca="false">IF(D34=0,"-",E34/D34)</f>
        <v>-</v>
      </c>
      <c r="L34" s="18" t="str">
        <f aca="false">IF(F34=0,"-",C34/F34)</f>
        <v>-</v>
      </c>
      <c r="M34" s="18" t="str">
        <f aca="false">IF(G34=0,"-",C34/G34)</f>
        <v>-</v>
      </c>
      <c r="N34" s="17" t="str">
        <f aca="false">IF(F34=0,"-",G34/F34)</f>
        <v>-</v>
      </c>
      <c r="O34" s="17" t="str">
        <f aca="false">IF(G34=0,"-",H34/G34)</f>
        <v>-</v>
      </c>
      <c r="P34" s="17" t="str">
        <f aca="false">IF(H34=0,"-",I34/H34)</f>
        <v>-</v>
      </c>
      <c r="Q34" s="18" t="str">
        <f aca="false">IF(I34=0,"-",C34/I34)</f>
        <v>-</v>
      </c>
      <c r="R34" s="18" t="str">
        <f aca="false">IF(J34=0,"-",C34/J34)</f>
        <v>-</v>
      </c>
    </row>
    <row r="35" customFormat="false" ht="15" hidden="false" customHeight="false" outlineLevel="0" collapsed="false">
      <c r="A35" s="15"/>
      <c r="B35" s="15"/>
      <c r="C35" s="15"/>
      <c r="D35" s="15"/>
      <c r="E35" s="15"/>
      <c r="F35" s="15"/>
      <c r="G35" s="15"/>
      <c r="H35" s="15"/>
      <c r="I35" s="15"/>
      <c r="J35" s="15"/>
      <c r="K35" s="17" t="str">
        <f aca="false">IF(D35=0,"-",E35/D35)</f>
        <v>-</v>
      </c>
      <c r="L35" s="18" t="str">
        <f aca="false">IF(F35=0,"-",C35/F35)</f>
        <v>-</v>
      </c>
      <c r="M35" s="18" t="str">
        <f aca="false">IF(G35=0,"-",C35/G35)</f>
        <v>-</v>
      </c>
      <c r="N35" s="17" t="str">
        <f aca="false">IF(F35=0,"-",G35/F35)</f>
        <v>-</v>
      </c>
      <c r="O35" s="17" t="str">
        <f aca="false">IF(G35=0,"-",H35/G35)</f>
        <v>-</v>
      </c>
      <c r="P35" s="17" t="str">
        <f aca="false">IF(H35=0,"-",I35/H35)</f>
        <v>-</v>
      </c>
      <c r="Q35" s="18" t="str">
        <f aca="false">IF(I35=0,"-",C35/I35)</f>
        <v>-</v>
      </c>
      <c r="R35" s="18" t="str">
        <f aca="false">IF(J35=0,"-",C35/J35)</f>
        <v>-</v>
      </c>
    </row>
    <row r="36" customFormat="false" ht="15" hidden="false" customHeight="false" outlineLevel="0" collapsed="false">
      <c r="A36" s="15"/>
      <c r="B36" s="15"/>
      <c r="C36" s="15"/>
      <c r="D36" s="15"/>
      <c r="E36" s="15"/>
      <c r="F36" s="15"/>
      <c r="G36" s="15"/>
      <c r="H36" s="15"/>
      <c r="I36" s="15"/>
      <c r="J36" s="15"/>
      <c r="K36" s="17" t="str">
        <f aca="false">IF(D36=0,"-",E36/D36)</f>
        <v>-</v>
      </c>
      <c r="L36" s="18" t="str">
        <f aca="false">IF(F36=0,"-",C36/F36)</f>
        <v>-</v>
      </c>
      <c r="M36" s="18" t="str">
        <f aca="false">IF(G36=0,"-",C36/G36)</f>
        <v>-</v>
      </c>
      <c r="N36" s="17" t="str">
        <f aca="false">IF(F36=0,"-",G36/F36)</f>
        <v>-</v>
      </c>
      <c r="O36" s="17" t="str">
        <f aca="false">IF(G36=0,"-",H36/G36)</f>
        <v>-</v>
      </c>
      <c r="P36" s="17" t="str">
        <f aca="false">IF(H36=0,"-",I36/H36)</f>
        <v>-</v>
      </c>
      <c r="Q36" s="18" t="str">
        <f aca="false">IF(I36=0,"-",C36/I36)</f>
        <v>-</v>
      </c>
      <c r="R36" s="18" t="str">
        <f aca="false">IF(J36=0,"-",C36/J36)</f>
        <v>-</v>
      </c>
    </row>
    <row r="37" customFormat="false" ht="15" hidden="false" customHeight="false" outlineLevel="0" collapsed="false">
      <c r="A37" s="15"/>
      <c r="B37" s="15"/>
      <c r="C37" s="15"/>
      <c r="D37" s="15"/>
      <c r="E37" s="15"/>
      <c r="F37" s="15"/>
      <c r="G37" s="15"/>
      <c r="H37" s="15"/>
      <c r="I37" s="15"/>
      <c r="J37" s="15"/>
      <c r="K37" s="17" t="str">
        <f aca="false">IF(D37=0,"-",E37/D37)</f>
        <v>-</v>
      </c>
      <c r="L37" s="18" t="str">
        <f aca="false">IF(F37=0,"-",C37/F37)</f>
        <v>-</v>
      </c>
      <c r="M37" s="18" t="str">
        <f aca="false">IF(G37=0,"-",C37/G37)</f>
        <v>-</v>
      </c>
      <c r="N37" s="17" t="str">
        <f aca="false">IF(F37=0,"-",G37/F37)</f>
        <v>-</v>
      </c>
      <c r="O37" s="17" t="str">
        <f aca="false">IF(G37=0,"-",H37/G37)</f>
        <v>-</v>
      </c>
      <c r="P37" s="17" t="str">
        <f aca="false">IF(H37=0,"-",I37/H37)</f>
        <v>-</v>
      </c>
      <c r="Q37" s="18" t="str">
        <f aca="false">IF(I37=0,"-",C37/I37)</f>
        <v>-</v>
      </c>
      <c r="R37" s="18" t="str">
        <f aca="false">IF(J37=0,"-",C37/J37)</f>
        <v>-</v>
      </c>
    </row>
    <row r="38" customFormat="false" ht="15" hidden="false" customHeight="false" outlineLevel="0" collapsed="false">
      <c r="A38" s="15"/>
      <c r="B38" s="15"/>
      <c r="C38" s="15"/>
      <c r="D38" s="15"/>
      <c r="E38" s="15"/>
      <c r="F38" s="15"/>
      <c r="G38" s="15"/>
      <c r="H38" s="15"/>
      <c r="I38" s="15"/>
      <c r="J38" s="15"/>
      <c r="K38" s="17" t="str">
        <f aca="false">IF(D38=0,"-",E38/D38)</f>
        <v>-</v>
      </c>
      <c r="L38" s="18" t="str">
        <f aca="false">IF(F38=0,"-",C38/F38)</f>
        <v>-</v>
      </c>
      <c r="M38" s="18" t="str">
        <f aca="false">IF(G38=0,"-",C38/G38)</f>
        <v>-</v>
      </c>
      <c r="N38" s="17" t="str">
        <f aca="false">IF(F38=0,"-",G38/F38)</f>
        <v>-</v>
      </c>
      <c r="O38" s="17" t="str">
        <f aca="false">IF(G38=0,"-",H38/G38)</f>
        <v>-</v>
      </c>
      <c r="P38" s="17" t="str">
        <f aca="false">IF(H38=0,"-",I38/H38)</f>
        <v>-</v>
      </c>
      <c r="Q38" s="18" t="str">
        <f aca="false">IF(I38=0,"-",C38/I38)</f>
        <v>-</v>
      </c>
      <c r="R38" s="18" t="str">
        <f aca="false">IF(J38=0,"-",C38/J38)</f>
        <v>-</v>
      </c>
    </row>
    <row r="39" customFormat="false" ht="15" hidden="false" customHeight="false" outlineLevel="0" collapsed="false">
      <c r="A39" s="15"/>
      <c r="B39" s="15"/>
      <c r="C39" s="15"/>
      <c r="D39" s="15"/>
      <c r="E39" s="15"/>
      <c r="F39" s="15"/>
      <c r="G39" s="15"/>
      <c r="H39" s="15"/>
      <c r="I39" s="15"/>
      <c r="J39" s="15"/>
      <c r="K39" s="17" t="str">
        <f aca="false">IF(D39=0,"-",E39/D39)</f>
        <v>-</v>
      </c>
      <c r="L39" s="18" t="str">
        <f aca="false">IF(F39=0,"-",C39/F39)</f>
        <v>-</v>
      </c>
      <c r="M39" s="18" t="str">
        <f aca="false">IF(G39=0,"-",C39/G39)</f>
        <v>-</v>
      </c>
      <c r="N39" s="17" t="str">
        <f aca="false">IF(F39=0,"-",G39/F39)</f>
        <v>-</v>
      </c>
      <c r="O39" s="17" t="str">
        <f aca="false">IF(G39=0,"-",H39/G39)</f>
        <v>-</v>
      </c>
      <c r="P39" s="17" t="str">
        <f aca="false">IF(H39=0,"-",I39/H39)</f>
        <v>-</v>
      </c>
      <c r="Q39" s="18" t="str">
        <f aca="false">IF(I39=0,"-",C39/I39)</f>
        <v>-</v>
      </c>
      <c r="R39" s="18" t="str">
        <f aca="false">IF(J39=0,"-",C39/J39)</f>
        <v>-</v>
      </c>
    </row>
    <row r="41" customFormat="false" ht="15" hidden="false" customHeight="false" outlineLevel="0" collapsed="false">
      <c r="A41" s="9" t="s">
        <v>1029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
    <col collapsed="false" customWidth="true" hidden="false" outlineLevel="0" max="3" min="3" style="0" width="90"/>
  </cols>
  <sheetData>
    <row r="1" customFormat="false" ht="15" hidden="false" customHeight="false" outlineLevel="0" collapsed="false">
      <c r="A1" s="5" t="s">
        <v>1030</v>
      </c>
      <c r="B1" s="5" t="s">
        <v>1031</v>
      </c>
      <c r="C1" s="5" t="s">
        <v>1032</v>
      </c>
    </row>
    <row r="2" customFormat="false" ht="15" hidden="false" customHeight="false" outlineLevel="0" collapsed="false">
      <c r="A2" s="6" t="s">
        <v>1033</v>
      </c>
      <c r="B2" s="6" t="n">
        <v>1</v>
      </c>
      <c r="C2" s="6" t="s">
        <v>114</v>
      </c>
    </row>
    <row r="3" customFormat="false" ht="15" hidden="false" customHeight="false" outlineLevel="0" collapsed="false">
      <c r="A3" s="6" t="s">
        <v>1033</v>
      </c>
      <c r="B3" s="6" t="n">
        <v>2</v>
      </c>
      <c r="C3" s="6" t="s">
        <v>1034</v>
      </c>
    </row>
    <row r="4" customFormat="false" ht="15" hidden="false" customHeight="false" outlineLevel="0" collapsed="false">
      <c r="A4" s="6" t="s">
        <v>1033</v>
      </c>
      <c r="B4" s="6" t="n">
        <v>3</v>
      </c>
      <c r="C4" s="6" t="s">
        <v>631</v>
      </c>
    </row>
    <row r="5" customFormat="false" ht="15" hidden="false" customHeight="false" outlineLevel="0" collapsed="false">
      <c r="A5" s="6" t="s">
        <v>1033</v>
      </c>
      <c r="B5" s="6" t="n">
        <v>4</v>
      </c>
      <c r="C5" s="6" t="s">
        <v>1035</v>
      </c>
    </row>
    <row r="6" customFormat="false" ht="15" hidden="false" customHeight="false" outlineLevel="0" collapsed="false">
      <c r="A6" s="6" t="s">
        <v>1033</v>
      </c>
      <c r="B6" s="6" t="n">
        <v>5</v>
      </c>
      <c r="C6" s="6" t="s">
        <v>1036</v>
      </c>
    </row>
    <row r="7" customFormat="false" ht="15" hidden="false" customHeight="false" outlineLevel="0" collapsed="false">
      <c r="A7" s="6" t="s">
        <v>1033</v>
      </c>
      <c r="B7" s="6" t="n">
        <v>6</v>
      </c>
      <c r="C7" s="6" t="s">
        <v>1037</v>
      </c>
    </row>
    <row r="8" customFormat="false" ht="15" hidden="false" customHeight="false" outlineLevel="0" collapsed="false">
      <c r="A8" s="6" t="s">
        <v>1033</v>
      </c>
      <c r="B8" s="6" t="n">
        <v>7</v>
      </c>
      <c r="C8" s="6" t="s">
        <v>328</v>
      </c>
    </row>
    <row r="9" customFormat="false" ht="15" hidden="false" customHeight="false" outlineLevel="0" collapsed="false">
      <c r="A9" s="6" t="s">
        <v>1033</v>
      </c>
      <c r="B9" s="6" t="n">
        <v>8</v>
      </c>
      <c r="C9" s="6" t="s">
        <v>1038</v>
      </c>
    </row>
    <row r="10" customFormat="false" ht="15" hidden="false" customHeight="false" outlineLevel="0" collapsed="false">
      <c r="A10" s="6" t="s">
        <v>1033</v>
      </c>
      <c r="B10" s="6" t="n">
        <v>9</v>
      </c>
      <c r="C10" s="6" t="s">
        <v>356</v>
      </c>
    </row>
    <row r="11" customFormat="false" ht="15" hidden="false" customHeight="false" outlineLevel="0" collapsed="false">
      <c r="A11" s="6" t="s">
        <v>1033</v>
      </c>
      <c r="B11" s="6" t="n">
        <v>10</v>
      </c>
      <c r="C11" s="6" t="s">
        <v>259</v>
      </c>
    </row>
    <row r="12" customFormat="false" ht="15" hidden="false" customHeight="false" outlineLevel="0" collapsed="false">
      <c r="A12" s="6" t="s">
        <v>1033</v>
      </c>
      <c r="B12" s="6" t="n">
        <v>11</v>
      </c>
      <c r="C12" s="6" t="s">
        <v>1039</v>
      </c>
    </row>
    <row r="13" customFormat="false" ht="15" hidden="false" customHeight="false" outlineLevel="0" collapsed="false">
      <c r="A13" s="6" t="s">
        <v>1033</v>
      </c>
      <c r="B13" s="6" t="n">
        <v>12</v>
      </c>
      <c r="C13" s="6" t="s">
        <v>1040</v>
      </c>
    </row>
    <row r="14" customFormat="false" ht="15" hidden="false" customHeight="false" outlineLevel="0" collapsed="false">
      <c r="A14" s="6" t="s">
        <v>1033</v>
      </c>
      <c r="B14" s="6" t="n">
        <v>13</v>
      </c>
      <c r="C14" s="6" t="s">
        <v>1041</v>
      </c>
    </row>
    <row r="15" customFormat="false" ht="15" hidden="false" customHeight="false" outlineLevel="0" collapsed="false">
      <c r="A15" s="6" t="s">
        <v>1033</v>
      </c>
      <c r="B15" s="6" t="n">
        <v>14</v>
      </c>
      <c r="C15" s="6" t="s">
        <v>1042</v>
      </c>
    </row>
    <row r="16" customFormat="false" ht="15" hidden="false" customHeight="false" outlineLevel="0" collapsed="false">
      <c r="A16" s="6" t="s">
        <v>1033</v>
      </c>
      <c r="B16" s="6" t="n">
        <v>15</v>
      </c>
      <c r="C16" s="6" t="s">
        <v>1043</v>
      </c>
    </row>
    <row r="17" customFormat="false" ht="15" hidden="false" customHeight="false" outlineLevel="0" collapsed="false">
      <c r="A17" s="6" t="s">
        <v>1033</v>
      </c>
      <c r="B17" s="6" t="n">
        <v>16</v>
      </c>
      <c r="C17" s="6" t="s">
        <v>1044</v>
      </c>
    </row>
    <row r="18" customFormat="false" ht="15" hidden="false" customHeight="false" outlineLevel="0" collapsed="false">
      <c r="A18" s="6" t="s">
        <v>1033</v>
      </c>
      <c r="B18" s="6" t="n">
        <v>17</v>
      </c>
      <c r="C18" s="6" t="s">
        <v>1045</v>
      </c>
    </row>
    <row r="19" customFormat="false" ht="15" hidden="false" customHeight="false" outlineLevel="0" collapsed="false">
      <c r="A19" s="6" t="s">
        <v>1033</v>
      </c>
      <c r="B19" s="6" t="n">
        <v>18</v>
      </c>
      <c r="C19" s="6" t="s">
        <v>1046</v>
      </c>
    </row>
    <row r="20" customFormat="false" ht="15" hidden="false" customHeight="false" outlineLevel="0" collapsed="false">
      <c r="A20" s="6" t="s">
        <v>1033</v>
      </c>
      <c r="B20" s="6" t="n">
        <v>19</v>
      </c>
      <c r="C20" s="6" t="s">
        <v>1047</v>
      </c>
    </row>
    <row r="21" customFormat="false" ht="15" hidden="false" customHeight="false" outlineLevel="0" collapsed="false">
      <c r="A21" s="6" t="s">
        <v>1033</v>
      </c>
      <c r="B21" s="6" t="n">
        <v>20</v>
      </c>
      <c r="C21" s="6" t="s">
        <v>1048</v>
      </c>
    </row>
    <row r="22" customFormat="false" ht="15" hidden="false" customHeight="false" outlineLevel="0" collapsed="false">
      <c r="A22" s="6" t="s">
        <v>1049</v>
      </c>
      <c r="B22" s="6" t="n">
        <v>1</v>
      </c>
      <c r="C22" s="6" t="s">
        <v>155</v>
      </c>
    </row>
    <row r="23" customFormat="false" ht="15" hidden="false" customHeight="false" outlineLevel="0" collapsed="false">
      <c r="A23" s="6" t="s">
        <v>1049</v>
      </c>
      <c r="B23" s="6" t="n">
        <v>2</v>
      </c>
      <c r="C23" s="6" t="s">
        <v>1050</v>
      </c>
    </row>
    <row r="24" customFormat="false" ht="15" hidden="false" customHeight="false" outlineLevel="0" collapsed="false">
      <c r="A24" s="6" t="s">
        <v>1049</v>
      </c>
      <c r="B24" s="6" t="n">
        <v>3</v>
      </c>
      <c r="C24" s="6" t="s">
        <v>650</v>
      </c>
    </row>
    <row r="25" customFormat="false" ht="15" hidden="false" customHeight="false" outlineLevel="0" collapsed="false">
      <c r="A25" s="6" t="s">
        <v>1049</v>
      </c>
      <c r="B25" s="6" t="n">
        <v>4</v>
      </c>
      <c r="C25" s="6" t="s">
        <v>870</v>
      </c>
    </row>
    <row r="26" customFormat="false" ht="15" hidden="false" customHeight="false" outlineLevel="0" collapsed="false">
      <c r="A26" s="6" t="s">
        <v>1049</v>
      </c>
      <c r="B26" s="6" t="n">
        <v>5</v>
      </c>
      <c r="C26" s="6" t="s">
        <v>177</v>
      </c>
    </row>
    <row r="27" customFormat="false" ht="15" hidden="false" customHeight="false" outlineLevel="0" collapsed="false">
      <c r="A27" s="6" t="s">
        <v>1049</v>
      </c>
      <c r="B27" s="6" t="n">
        <v>6</v>
      </c>
      <c r="C27" s="6" t="s">
        <v>320</v>
      </c>
    </row>
    <row r="28" customFormat="false" ht="15" hidden="false" customHeight="false" outlineLevel="0" collapsed="false">
      <c r="A28" s="6" t="s">
        <v>1049</v>
      </c>
      <c r="B28" s="6" t="n">
        <v>7</v>
      </c>
      <c r="C28" s="6" t="s">
        <v>1051</v>
      </c>
    </row>
    <row r="29" customFormat="false" ht="15" hidden="false" customHeight="false" outlineLevel="0" collapsed="false">
      <c r="A29" s="6" t="s">
        <v>1049</v>
      </c>
      <c r="B29" s="6" t="n">
        <v>8</v>
      </c>
      <c r="C29" s="6" t="s">
        <v>491</v>
      </c>
    </row>
    <row r="30" customFormat="false" ht="15" hidden="false" customHeight="false" outlineLevel="0" collapsed="false">
      <c r="A30" s="6" t="s">
        <v>1049</v>
      </c>
      <c r="B30" s="6" t="n">
        <v>9</v>
      </c>
      <c r="C30" s="6" t="s">
        <v>1052</v>
      </c>
    </row>
    <row r="31" customFormat="false" ht="15" hidden="false" customHeight="false" outlineLevel="0" collapsed="false">
      <c r="A31" s="6" t="s">
        <v>1049</v>
      </c>
      <c r="B31" s="6" t="n">
        <v>10</v>
      </c>
      <c r="C31" s="6" t="s">
        <v>1053</v>
      </c>
    </row>
    <row r="32" customFormat="false" ht="15" hidden="false" customHeight="false" outlineLevel="0" collapsed="false">
      <c r="A32" s="6" t="s">
        <v>1049</v>
      </c>
      <c r="B32" s="6" t="n">
        <v>11</v>
      </c>
      <c r="C32" s="6" t="s">
        <v>1054</v>
      </c>
    </row>
    <row r="33" customFormat="false" ht="15" hidden="false" customHeight="false" outlineLevel="0" collapsed="false">
      <c r="A33" s="6" t="s">
        <v>1049</v>
      </c>
      <c r="B33" s="6" t="n">
        <v>12</v>
      </c>
      <c r="C33" s="6" t="s">
        <v>1055</v>
      </c>
    </row>
    <row r="34" customFormat="false" ht="15" hidden="false" customHeight="false" outlineLevel="0" collapsed="false">
      <c r="A34" s="6" t="s">
        <v>1049</v>
      </c>
      <c r="B34" s="6" t="n">
        <v>13</v>
      </c>
      <c r="C34" s="6" t="s">
        <v>1056</v>
      </c>
    </row>
    <row r="35" customFormat="false" ht="15" hidden="false" customHeight="false" outlineLevel="0" collapsed="false">
      <c r="A35" s="6" t="s">
        <v>1049</v>
      </c>
      <c r="B35" s="6" t="n">
        <v>14</v>
      </c>
      <c r="C35" s="6" t="s">
        <v>1057</v>
      </c>
    </row>
    <row r="36" customFormat="false" ht="15" hidden="false" customHeight="false" outlineLevel="0" collapsed="false">
      <c r="A36" s="6" t="s">
        <v>1049</v>
      </c>
      <c r="B36" s="6" t="n">
        <v>15</v>
      </c>
      <c r="C36" s="6" t="s">
        <v>1058</v>
      </c>
    </row>
    <row r="37" customFormat="false" ht="15" hidden="false" customHeight="false" outlineLevel="0" collapsed="false">
      <c r="A37" s="6" t="s">
        <v>1049</v>
      </c>
      <c r="B37" s="6" t="n">
        <v>16</v>
      </c>
      <c r="C37" s="6" t="s">
        <v>1059</v>
      </c>
    </row>
    <row r="38" customFormat="false" ht="15" hidden="false" customHeight="false" outlineLevel="0" collapsed="false">
      <c r="A38" s="6" t="s">
        <v>1049</v>
      </c>
      <c r="B38" s="6" t="n">
        <v>17</v>
      </c>
      <c r="C38" s="6" t="s">
        <v>1060</v>
      </c>
    </row>
    <row r="39" customFormat="false" ht="15" hidden="false" customHeight="false" outlineLevel="0" collapsed="false">
      <c r="A39" s="6" t="s">
        <v>1049</v>
      </c>
      <c r="B39" s="6" t="n">
        <v>18</v>
      </c>
      <c r="C39" s="6" t="s">
        <v>1061</v>
      </c>
    </row>
    <row r="40" customFormat="false" ht="15" hidden="false" customHeight="false" outlineLevel="0" collapsed="false">
      <c r="A40" s="6" t="s">
        <v>1049</v>
      </c>
      <c r="B40" s="6" t="n">
        <v>19</v>
      </c>
      <c r="C40" s="6" t="s">
        <v>1062</v>
      </c>
    </row>
    <row r="41" customFormat="false" ht="15" hidden="false" customHeight="false" outlineLevel="0" collapsed="false">
      <c r="A41" s="6" t="s">
        <v>1049</v>
      </c>
      <c r="B41" s="6" t="n">
        <v>20</v>
      </c>
      <c r="C41" s="6" t="s">
        <v>1063</v>
      </c>
    </row>
    <row r="42" customFormat="false" ht="15" hidden="false" customHeight="false" outlineLevel="0" collapsed="false">
      <c r="A42" s="6" t="s">
        <v>1064</v>
      </c>
      <c r="B42" s="6" t="n">
        <v>1</v>
      </c>
      <c r="C42" s="6" t="s">
        <v>132</v>
      </c>
    </row>
    <row r="43" customFormat="false" ht="15" hidden="false" customHeight="false" outlineLevel="0" collapsed="false">
      <c r="A43" s="6" t="s">
        <v>1064</v>
      </c>
      <c r="B43" s="6" t="n">
        <v>2</v>
      </c>
      <c r="C43" s="6" t="s">
        <v>657</v>
      </c>
    </row>
    <row r="44" customFormat="false" ht="15" hidden="false" customHeight="false" outlineLevel="0" collapsed="false">
      <c r="A44" s="6" t="s">
        <v>1064</v>
      </c>
      <c r="B44" s="6" t="n">
        <v>3</v>
      </c>
      <c r="C44" s="6" t="s">
        <v>728</v>
      </c>
    </row>
    <row r="45" customFormat="false" ht="15" hidden="false" customHeight="false" outlineLevel="0" collapsed="false">
      <c r="A45" s="6" t="s">
        <v>1064</v>
      </c>
      <c r="B45" s="6" t="n">
        <v>4</v>
      </c>
      <c r="C45" s="6" t="s">
        <v>1065</v>
      </c>
    </row>
    <row r="46" customFormat="false" ht="15" hidden="false" customHeight="false" outlineLevel="0" collapsed="false">
      <c r="A46" s="6" t="s">
        <v>1064</v>
      </c>
      <c r="B46" s="6" t="n">
        <v>5</v>
      </c>
      <c r="C46" s="6" t="s">
        <v>1066</v>
      </c>
    </row>
    <row r="47" customFormat="false" ht="15" hidden="false" customHeight="false" outlineLevel="0" collapsed="false">
      <c r="A47" s="6" t="s">
        <v>1064</v>
      </c>
      <c r="B47" s="6" t="n">
        <v>6</v>
      </c>
      <c r="C47" s="6" t="s">
        <v>1067</v>
      </c>
    </row>
    <row r="48" customFormat="false" ht="15" hidden="false" customHeight="false" outlineLevel="0" collapsed="false">
      <c r="A48" s="6" t="s">
        <v>1064</v>
      </c>
      <c r="B48" s="6" t="n">
        <v>7</v>
      </c>
      <c r="C48" s="6" t="s">
        <v>1068</v>
      </c>
    </row>
    <row r="49" customFormat="false" ht="15" hidden="false" customHeight="false" outlineLevel="0" collapsed="false">
      <c r="A49" s="6" t="s">
        <v>1064</v>
      </c>
      <c r="B49" s="6" t="n">
        <v>8</v>
      </c>
      <c r="C49" s="6" t="s">
        <v>1069</v>
      </c>
    </row>
    <row r="50" customFormat="false" ht="15" hidden="false" customHeight="false" outlineLevel="0" collapsed="false">
      <c r="A50" s="6" t="s">
        <v>1064</v>
      </c>
      <c r="B50" s="6" t="n">
        <v>9</v>
      </c>
      <c r="C50" s="6" t="s">
        <v>1070</v>
      </c>
    </row>
    <row r="51" customFormat="false" ht="15" hidden="false" customHeight="false" outlineLevel="0" collapsed="false">
      <c r="A51" s="6" t="s">
        <v>1064</v>
      </c>
      <c r="B51" s="6" t="n">
        <v>10</v>
      </c>
      <c r="C51" s="6" t="s">
        <v>1071</v>
      </c>
    </row>
    <row r="52" customFormat="false" ht="15" hidden="false" customHeight="false" outlineLevel="0" collapsed="false">
      <c r="A52" s="6" t="s">
        <v>1064</v>
      </c>
      <c r="B52" s="6" t="n">
        <v>11</v>
      </c>
      <c r="C52" s="6" t="s">
        <v>1072</v>
      </c>
    </row>
    <row r="53" customFormat="false" ht="15" hidden="false" customHeight="false" outlineLevel="0" collapsed="false">
      <c r="A53" s="6" t="s">
        <v>1064</v>
      </c>
      <c r="B53" s="6" t="n">
        <v>12</v>
      </c>
      <c r="C53" s="6" t="s">
        <v>1073</v>
      </c>
    </row>
    <row r="54" customFormat="false" ht="15" hidden="false" customHeight="false" outlineLevel="0" collapsed="false">
      <c r="A54" s="6" t="s">
        <v>1064</v>
      </c>
      <c r="B54" s="6" t="n">
        <v>13</v>
      </c>
      <c r="C54" s="6" t="s">
        <v>1074</v>
      </c>
    </row>
    <row r="55" customFormat="false" ht="15" hidden="false" customHeight="false" outlineLevel="0" collapsed="false">
      <c r="A55" s="6" t="s">
        <v>1064</v>
      </c>
      <c r="B55" s="6" t="n">
        <v>14</v>
      </c>
      <c r="C55" s="6" t="s">
        <v>1075</v>
      </c>
    </row>
    <row r="56" customFormat="false" ht="15" hidden="false" customHeight="false" outlineLevel="0" collapsed="false">
      <c r="A56" s="6" t="s">
        <v>1064</v>
      </c>
      <c r="B56" s="6" t="n">
        <v>15</v>
      </c>
      <c r="C56" s="6" t="s">
        <v>1076</v>
      </c>
    </row>
    <row r="57" customFormat="false" ht="15" hidden="false" customHeight="false" outlineLevel="0" collapsed="false">
      <c r="A57" s="6" t="s">
        <v>1077</v>
      </c>
      <c r="B57" s="6" t="n">
        <v>1</v>
      </c>
      <c r="C57" s="6" t="s">
        <v>143</v>
      </c>
    </row>
    <row r="58" customFormat="false" ht="15" hidden="false" customHeight="false" outlineLevel="0" collapsed="false">
      <c r="A58" s="6" t="s">
        <v>1077</v>
      </c>
      <c r="B58" s="6" t="n">
        <v>2</v>
      </c>
      <c r="C58" s="6" t="s">
        <v>674</v>
      </c>
    </row>
    <row r="59" customFormat="false" ht="15" hidden="false" customHeight="false" outlineLevel="0" collapsed="false">
      <c r="A59" s="6" t="s">
        <v>1077</v>
      </c>
      <c r="B59" s="6" t="n">
        <v>3</v>
      </c>
      <c r="C59" s="6" t="s">
        <v>1078</v>
      </c>
    </row>
    <row r="60" customFormat="false" ht="15" hidden="false" customHeight="false" outlineLevel="0" collapsed="false">
      <c r="A60" s="6" t="s">
        <v>1077</v>
      </c>
      <c r="B60" s="6" t="n">
        <v>4</v>
      </c>
      <c r="C60" s="6" t="s">
        <v>1079</v>
      </c>
    </row>
    <row r="61" customFormat="false" ht="15" hidden="false" customHeight="false" outlineLevel="0" collapsed="false">
      <c r="A61" s="6" t="s">
        <v>1077</v>
      </c>
      <c r="B61" s="6" t="n">
        <v>5</v>
      </c>
      <c r="C61" s="6" t="s">
        <v>451</v>
      </c>
    </row>
    <row r="62" customFormat="false" ht="15" hidden="false" customHeight="false" outlineLevel="0" collapsed="false">
      <c r="A62" s="6" t="s">
        <v>1077</v>
      </c>
      <c r="B62" s="6" t="n">
        <v>6</v>
      </c>
      <c r="C62" s="6" t="s">
        <v>1080</v>
      </c>
    </row>
    <row r="63" customFormat="false" ht="15" hidden="false" customHeight="false" outlineLevel="0" collapsed="false">
      <c r="A63" s="6" t="s">
        <v>1077</v>
      </c>
      <c r="B63" s="6" t="n">
        <v>7</v>
      </c>
      <c r="C63" s="6" t="s">
        <v>1081</v>
      </c>
    </row>
    <row r="64" customFormat="false" ht="15" hidden="false" customHeight="false" outlineLevel="0" collapsed="false">
      <c r="A64" s="6" t="s">
        <v>1077</v>
      </c>
      <c r="B64" s="6" t="n">
        <v>8</v>
      </c>
      <c r="C64" s="6" t="s">
        <v>1082</v>
      </c>
    </row>
    <row r="65" customFormat="false" ht="15" hidden="false" customHeight="false" outlineLevel="0" collapsed="false">
      <c r="A65" s="6" t="s">
        <v>1077</v>
      </c>
      <c r="B65" s="6" t="n">
        <v>9</v>
      </c>
      <c r="C65" s="6" t="s">
        <v>1083</v>
      </c>
    </row>
    <row r="66" customFormat="false" ht="15" hidden="false" customHeight="false" outlineLevel="0" collapsed="false">
      <c r="A66" s="6" t="s">
        <v>1077</v>
      </c>
      <c r="B66" s="6" t="n">
        <v>10</v>
      </c>
      <c r="C66" s="6" t="s">
        <v>1084</v>
      </c>
    </row>
    <row r="67" customFormat="false" ht="15" hidden="false" customHeight="false" outlineLevel="0" collapsed="false">
      <c r="A67" s="6" t="s">
        <v>1077</v>
      </c>
      <c r="B67" s="6" t="n">
        <v>11</v>
      </c>
      <c r="C67" s="6" t="s">
        <v>1085</v>
      </c>
    </row>
    <row r="68" customFormat="false" ht="15" hidden="false" customHeight="false" outlineLevel="0" collapsed="false">
      <c r="A68" s="6" t="s">
        <v>1077</v>
      </c>
      <c r="B68" s="6" t="n">
        <v>12</v>
      </c>
      <c r="C68" s="6" t="s">
        <v>1086</v>
      </c>
    </row>
    <row r="69" customFormat="false" ht="15" hidden="false" customHeight="false" outlineLevel="0" collapsed="false">
      <c r="A69" s="6" t="s">
        <v>1077</v>
      </c>
      <c r="B69" s="6" t="n">
        <v>13</v>
      </c>
      <c r="C69" s="6" t="s">
        <v>1087</v>
      </c>
    </row>
    <row r="70" customFormat="false" ht="15" hidden="false" customHeight="false" outlineLevel="0" collapsed="false">
      <c r="A70" s="6" t="s">
        <v>1077</v>
      </c>
      <c r="B70" s="6" t="n">
        <v>14</v>
      </c>
      <c r="C70" s="6" t="s">
        <v>1088</v>
      </c>
    </row>
    <row r="71" customFormat="false" ht="15" hidden="false" customHeight="false" outlineLevel="0" collapsed="false">
      <c r="A71" s="6" t="s">
        <v>1077</v>
      </c>
      <c r="B71" s="6" t="n">
        <v>15</v>
      </c>
      <c r="C71" s="6" t="s">
        <v>1089</v>
      </c>
    </row>
    <row r="72" customFormat="false" ht="15" hidden="false" customHeight="false" outlineLevel="0" collapsed="false">
      <c r="A72" s="6" t="s">
        <v>1090</v>
      </c>
      <c r="B72" s="6" t="n">
        <v>1</v>
      </c>
      <c r="C72" s="6" t="s">
        <v>1091</v>
      </c>
    </row>
    <row r="73" customFormat="false" ht="15" hidden="false" customHeight="false" outlineLevel="0" collapsed="false">
      <c r="A73" s="6" t="s">
        <v>1090</v>
      </c>
      <c r="B73" s="6" t="n">
        <v>2</v>
      </c>
      <c r="C73" s="6" t="s">
        <v>306</v>
      </c>
    </row>
    <row r="74" customFormat="false" ht="15" hidden="false" customHeight="false" outlineLevel="0" collapsed="false">
      <c r="A74" s="6" t="s">
        <v>1090</v>
      </c>
      <c r="B74" s="6" t="n">
        <v>3</v>
      </c>
      <c r="C74" s="6" t="s">
        <v>1092</v>
      </c>
    </row>
    <row r="75" customFormat="false" ht="15" hidden="false" customHeight="false" outlineLevel="0" collapsed="false">
      <c r="A75" s="6" t="s">
        <v>1090</v>
      </c>
      <c r="B75" s="6" t="n">
        <v>4</v>
      </c>
      <c r="C75" s="6" t="s">
        <v>1093</v>
      </c>
    </row>
    <row r="76" customFormat="false" ht="15" hidden="false" customHeight="false" outlineLevel="0" collapsed="false">
      <c r="A76" s="6" t="s">
        <v>1090</v>
      </c>
      <c r="B76" s="6" t="n">
        <v>5</v>
      </c>
      <c r="C76" s="6" t="s">
        <v>692</v>
      </c>
    </row>
    <row r="77" customFormat="false" ht="15" hidden="false" customHeight="false" outlineLevel="0" collapsed="false">
      <c r="A77" s="6" t="s">
        <v>1090</v>
      </c>
      <c r="B77" s="6" t="n">
        <v>6</v>
      </c>
      <c r="C77" s="6" t="s">
        <v>1094</v>
      </c>
    </row>
    <row r="78" customFormat="false" ht="15" hidden="false" customHeight="false" outlineLevel="0" collapsed="false">
      <c r="A78" s="6" t="s">
        <v>1090</v>
      </c>
      <c r="B78" s="6" t="n">
        <v>7</v>
      </c>
      <c r="C78" s="6" t="s">
        <v>1095</v>
      </c>
    </row>
    <row r="79" customFormat="false" ht="15" hidden="false" customHeight="false" outlineLevel="0" collapsed="false">
      <c r="A79" s="6" t="s">
        <v>1090</v>
      </c>
      <c r="B79" s="6" t="n">
        <v>8</v>
      </c>
      <c r="C79" s="6" t="s">
        <v>1096</v>
      </c>
    </row>
    <row r="80" customFormat="false" ht="15" hidden="false" customHeight="false" outlineLevel="0" collapsed="false">
      <c r="A80" s="6" t="s">
        <v>1090</v>
      </c>
      <c r="B80" s="6" t="n">
        <v>9</v>
      </c>
      <c r="C80" s="6" t="s">
        <v>1097</v>
      </c>
    </row>
    <row r="81" customFormat="false" ht="15" hidden="false" customHeight="false" outlineLevel="0" collapsed="false">
      <c r="A81" s="6" t="s">
        <v>1090</v>
      </c>
      <c r="B81" s="6" t="n">
        <v>10</v>
      </c>
      <c r="C81" s="6" t="s">
        <v>1098</v>
      </c>
    </row>
    <row r="82" customFormat="false" ht="15" hidden="false" customHeight="false" outlineLevel="0" collapsed="false">
      <c r="A82" s="6" t="s">
        <v>1090</v>
      </c>
      <c r="B82" s="6" t="n">
        <v>11</v>
      </c>
      <c r="C82" s="6" t="s">
        <v>1099</v>
      </c>
    </row>
    <row r="83" customFormat="false" ht="15" hidden="false" customHeight="false" outlineLevel="0" collapsed="false">
      <c r="A83" s="6" t="s">
        <v>1090</v>
      </c>
      <c r="B83" s="6" t="n">
        <v>12</v>
      </c>
      <c r="C83" s="6" t="s">
        <v>1100</v>
      </c>
    </row>
    <row r="84" customFormat="false" ht="15" hidden="false" customHeight="false" outlineLevel="0" collapsed="false">
      <c r="A84" s="6" t="s">
        <v>1090</v>
      </c>
      <c r="B84" s="6" t="n">
        <v>13</v>
      </c>
      <c r="C84" s="6" t="s">
        <v>1101</v>
      </c>
    </row>
    <row r="85" customFormat="false" ht="15" hidden="false" customHeight="false" outlineLevel="0" collapsed="false">
      <c r="A85" s="6" t="s">
        <v>1090</v>
      </c>
      <c r="B85" s="6" t="n">
        <v>14</v>
      </c>
      <c r="C85" s="6" t="s">
        <v>1102</v>
      </c>
    </row>
    <row r="86" customFormat="false" ht="15" hidden="false" customHeight="false" outlineLevel="0" collapsed="false">
      <c r="A86" s="6" t="s">
        <v>1090</v>
      </c>
      <c r="B86" s="6" t="n">
        <v>15</v>
      </c>
      <c r="C86" s="6" t="s">
        <v>1103</v>
      </c>
    </row>
    <row r="87" customFormat="false" ht="15" hidden="false" customHeight="false" outlineLevel="0" collapsed="false">
      <c r="A87" s="6" t="s">
        <v>1104</v>
      </c>
      <c r="B87" s="6" t="n">
        <v>1</v>
      </c>
      <c r="C87" s="6" t="s">
        <v>1105</v>
      </c>
    </row>
    <row r="88" customFormat="false" ht="15" hidden="false" customHeight="false" outlineLevel="0" collapsed="false">
      <c r="A88" s="6" t="s">
        <v>1104</v>
      </c>
      <c r="B88" s="6" t="n">
        <v>2</v>
      </c>
      <c r="C88" s="6" t="s">
        <v>1106</v>
      </c>
    </row>
    <row r="89" customFormat="false" ht="15" hidden="false" customHeight="false" outlineLevel="0" collapsed="false">
      <c r="A89" s="6" t="s">
        <v>1104</v>
      </c>
      <c r="B89" s="6" t="n">
        <v>3</v>
      </c>
      <c r="C89" s="6" t="s">
        <v>1107</v>
      </c>
    </row>
    <row r="90" customFormat="false" ht="15" hidden="false" customHeight="false" outlineLevel="0" collapsed="false">
      <c r="A90" s="6" t="s">
        <v>1104</v>
      </c>
      <c r="B90" s="6" t="n">
        <v>4</v>
      </c>
      <c r="C90" s="6" t="s">
        <v>1108</v>
      </c>
    </row>
    <row r="91" customFormat="false" ht="15" hidden="false" customHeight="false" outlineLevel="0" collapsed="false">
      <c r="A91" s="6" t="s">
        <v>1104</v>
      </c>
      <c r="B91" s="6" t="n">
        <v>5</v>
      </c>
      <c r="C91" s="6" t="s">
        <v>1109</v>
      </c>
    </row>
    <row r="92" customFormat="false" ht="15" hidden="false" customHeight="false" outlineLevel="0" collapsed="false">
      <c r="A92" s="6" t="s">
        <v>1104</v>
      </c>
      <c r="B92" s="6" t="n">
        <v>6</v>
      </c>
      <c r="C92" s="6" t="s">
        <v>1110</v>
      </c>
    </row>
    <row r="93" customFormat="false" ht="15" hidden="false" customHeight="false" outlineLevel="0" collapsed="false">
      <c r="A93" s="6" t="s">
        <v>1104</v>
      </c>
      <c r="B93" s="6" t="n">
        <v>7</v>
      </c>
      <c r="C93" s="6" t="s">
        <v>1111</v>
      </c>
    </row>
    <row r="94" customFormat="false" ht="15" hidden="false" customHeight="false" outlineLevel="0" collapsed="false">
      <c r="A94" s="6" t="s">
        <v>1104</v>
      </c>
      <c r="B94" s="6" t="n">
        <v>8</v>
      </c>
      <c r="C94" s="6" t="s">
        <v>1112</v>
      </c>
    </row>
    <row r="95" customFormat="false" ht="15" hidden="false" customHeight="false" outlineLevel="0" collapsed="false">
      <c r="A95" s="6" t="s">
        <v>1104</v>
      </c>
      <c r="B95" s="6" t="n">
        <v>9</v>
      </c>
      <c r="C95" s="6" t="s">
        <v>1113</v>
      </c>
    </row>
    <row r="96" customFormat="false" ht="15" hidden="false" customHeight="false" outlineLevel="0" collapsed="false">
      <c r="A96" s="6" t="s">
        <v>1104</v>
      </c>
      <c r="B96" s="6" t="n">
        <v>10</v>
      </c>
      <c r="C96" s="6" t="s">
        <v>1114</v>
      </c>
    </row>
    <row r="97" customFormat="false" ht="15" hidden="false" customHeight="false" outlineLevel="0" collapsed="false">
      <c r="A97" s="6" t="s">
        <v>1115</v>
      </c>
      <c r="B97" s="6" t="n">
        <v>1</v>
      </c>
      <c r="C97" s="6" t="s">
        <v>1116</v>
      </c>
    </row>
    <row r="98" customFormat="false" ht="15" hidden="false" customHeight="false" outlineLevel="0" collapsed="false">
      <c r="A98" s="6" t="s">
        <v>1115</v>
      </c>
      <c r="B98" s="6" t="n">
        <v>2</v>
      </c>
      <c r="C98" s="6" t="s">
        <v>1117</v>
      </c>
    </row>
    <row r="99" customFormat="false" ht="15" hidden="false" customHeight="false" outlineLevel="0" collapsed="false">
      <c r="A99" s="6" t="s">
        <v>1115</v>
      </c>
      <c r="B99" s="6" t="n">
        <v>3</v>
      </c>
      <c r="C99" s="6" t="s">
        <v>1118</v>
      </c>
    </row>
    <row r="100" customFormat="false" ht="15" hidden="false" customHeight="false" outlineLevel="0" collapsed="false">
      <c r="A100" s="6" t="s">
        <v>1115</v>
      </c>
      <c r="B100" s="6" t="n">
        <v>4</v>
      </c>
      <c r="C100" s="6" t="s">
        <v>1119</v>
      </c>
    </row>
    <row r="101" customFormat="false" ht="15" hidden="false" customHeight="false" outlineLevel="0" collapsed="false">
      <c r="A101" s="6" t="s">
        <v>1115</v>
      </c>
      <c r="B101" s="6" t="n">
        <v>5</v>
      </c>
      <c r="C101" s="6" t="s">
        <v>1120</v>
      </c>
    </row>
    <row r="102" customFormat="false" ht="15" hidden="false" customHeight="false" outlineLevel="0" collapsed="false">
      <c r="A102" s="6" t="s">
        <v>1115</v>
      </c>
      <c r="B102" s="6" t="n">
        <v>6</v>
      </c>
      <c r="C102" s="6" t="s">
        <v>1121</v>
      </c>
    </row>
    <row r="103" customFormat="false" ht="15" hidden="false" customHeight="false" outlineLevel="0" collapsed="false">
      <c r="A103" s="6" t="s">
        <v>1115</v>
      </c>
      <c r="B103" s="6" t="n">
        <v>7</v>
      </c>
      <c r="C103" s="6" t="s">
        <v>1122</v>
      </c>
    </row>
    <row r="104" customFormat="false" ht="15" hidden="false" customHeight="false" outlineLevel="0" collapsed="false">
      <c r="A104" s="6" t="s">
        <v>1115</v>
      </c>
      <c r="B104" s="6" t="n">
        <v>8</v>
      </c>
      <c r="C104" s="6" t="s">
        <v>1123</v>
      </c>
    </row>
    <row r="105" customFormat="false" ht="15" hidden="false" customHeight="false" outlineLevel="0" collapsed="false">
      <c r="A105" s="6" t="s">
        <v>1115</v>
      </c>
      <c r="B105" s="6" t="n">
        <v>9</v>
      </c>
      <c r="C105" s="6" t="s">
        <v>1124</v>
      </c>
    </row>
    <row r="106" customFormat="false" ht="15" hidden="false" customHeight="false" outlineLevel="0" collapsed="false">
      <c r="A106" s="6" t="s">
        <v>1115</v>
      </c>
      <c r="B106" s="6" t="n">
        <v>10</v>
      </c>
      <c r="C106" s="6" t="s">
        <v>1125</v>
      </c>
    </row>
    <row r="107" customFormat="false" ht="15" hidden="false" customHeight="false" outlineLevel="0" collapsed="false">
      <c r="A107" s="6" t="s">
        <v>1126</v>
      </c>
      <c r="B107" s="6" t="n">
        <v>1</v>
      </c>
      <c r="C107" s="6" t="s">
        <v>1127</v>
      </c>
    </row>
    <row r="108" customFormat="false" ht="15" hidden="false" customHeight="false" outlineLevel="0" collapsed="false">
      <c r="A108" s="6" t="s">
        <v>1126</v>
      </c>
      <c r="B108" s="6" t="n">
        <v>2</v>
      </c>
      <c r="C108" s="6" t="s">
        <v>81</v>
      </c>
    </row>
    <row r="109" customFormat="false" ht="15" hidden="false" customHeight="false" outlineLevel="0" collapsed="false">
      <c r="A109" s="6" t="s">
        <v>1126</v>
      </c>
      <c r="B109" s="6" t="n">
        <v>3</v>
      </c>
      <c r="C109" s="6" t="s">
        <v>418</v>
      </c>
    </row>
    <row r="110" customFormat="false" ht="15" hidden="false" customHeight="false" outlineLevel="0" collapsed="false">
      <c r="A110" s="6" t="s">
        <v>1126</v>
      </c>
      <c r="B110" s="6" t="n">
        <v>4</v>
      </c>
      <c r="C110" s="6" t="s">
        <v>1128</v>
      </c>
    </row>
    <row r="111" customFormat="false" ht="15" hidden="false" customHeight="false" outlineLevel="0" collapsed="false">
      <c r="A111" s="6" t="s">
        <v>1126</v>
      </c>
      <c r="B111" s="6" t="n">
        <v>5</v>
      </c>
      <c r="C111" s="6" t="s">
        <v>225</v>
      </c>
    </row>
    <row r="112" customFormat="false" ht="15" hidden="false" customHeight="false" outlineLevel="0" collapsed="false">
      <c r="A112" s="6" t="s">
        <v>1126</v>
      </c>
      <c r="B112" s="6" t="n">
        <v>6</v>
      </c>
      <c r="C112" s="6" t="s">
        <v>1129</v>
      </c>
    </row>
    <row r="113" customFormat="false" ht="15" hidden="false" customHeight="false" outlineLevel="0" collapsed="false">
      <c r="A113" s="6" t="s">
        <v>1126</v>
      </c>
      <c r="B113" s="6" t="n">
        <v>7</v>
      </c>
      <c r="C113" s="6" t="s">
        <v>577</v>
      </c>
    </row>
    <row r="114" customFormat="false" ht="15" hidden="false" customHeight="false" outlineLevel="0" collapsed="false">
      <c r="A114" s="6" t="s">
        <v>1126</v>
      </c>
      <c r="B114" s="6" t="n">
        <v>8</v>
      </c>
      <c r="C114" s="6" t="s">
        <v>1130</v>
      </c>
    </row>
    <row r="115" customFormat="false" ht="15" hidden="false" customHeight="false" outlineLevel="0" collapsed="false">
      <c r="A115" s="6" t="s">
        <v>1126</v>
      </c>
      <c r="B115" s="6" t="n">
        <v>9</v>
      </c>
      <c r="C115" s="6" t="s">
        <v>1131</v>
      </c>
    </row>
    <row r="116" customFormat="false" ht="15" hidden="false" customHeight="false" outlineLevel="0" collapsed="false">
      <c r="A116" s="6" t="s">
        <v>1126</v>
      </c>
      <c r="B116" s="6" t="n">
        <v>10</v>
      </c>
      <c r="C116" s="6" t="s">
        <v>1132</v>
      </c>
    </row>
    <row r="117" customFormat="false" ht="15" hidden="false" customHeight="false" outlineLevel="0" collapsed="false">
      <c r="A117" s="6" t="s">
        <v>1133</v>
      </c>
      <c r="B117" s="6" t="n">
        <v>1</v>
      </c>
      <c r="C117" s="6" t="s">
        <v>117</v>
      </c>
    </row>
    <row r="118" customFormat="false" ht="15" hidden="false" customHeight="false" outlineLevel="0" collapsed="false">
      <c r="A118" s="6" t="s">
        <v>1133</v>
      </c>
      <c r="B118" s="6" t="n">
        <v>2</v>
      </c>
      <c r="C118" s="6" t="s">
        <v>739</v>
      </c>
    </row>
    <row r="119" customFormat="false" ht="15" hidden="false" customHeight="false" outlineLevel="0" collapsed="false">
      <c r="A119" s="6" t="s">
        <v>1133</v>
      </c>
      <c r="B119" s="6" t="n">
        <v>3</v>
      </c>
      <c r="C119" s="6" t="s">
        <v>748</v>
      </c>
    </row>
    <row r="120" customFormat="false" ht="15" hidden="false" customHeight="false" outlineLevel="0" collapsed="false">
      <c r="A120" s="6" t="s">
        <v>1133</v>
      </c>
      <c r="B120" s="6" t="n">
        <v>4</v>
      </c>
      <c r="C120" s="6" t="s">
        <v>1134</v>
      </c>
    </row>
    <row r="121" customFormat="false" ht="15" hidden="false" customHeight="false" outlineLevel="0" collapsed="false">
      <c r="A121" s="6" t="s">
        <v>1133</v>
      </c>
      <c r="B121" s="6" t="n">
        <v>5</v>
      </c>
      <c r="C121" s="6" t="s">
        <v>838</v>
      </c>
    </row>
    <row r="122" customFormat="false" ht="15" hidden="false" customHeight="false" outlineLevel="0" collapsed="false">
      <c r="A122" s="6" t="s">
        <v>1133</v>
      </c>
      <c r="B122" s="6" t="n">
        <v>6</v>
      </c>
      <c r="C122" s="6" t="s">
        <v>684</v>
      </c>
    </row>
    <row r="123" customFormat="false" ht="15" hidden="false" customHeight="false" outlineLevel="0" collapsed="false">
      <c r="A123" s="6" t="s">
        <v>1133</v>
      </c>
      <c r="B123" s="6" t="n">
        <v>7</v>
      </c>
      <c r="C123" s="6" t="s">
        <v>723</v>
      </c>
    </row>
    <row r="124" customFormat="false" ht="15" hidden="false" customHeight="false" outlineLevel="0" collapsed="false">
      <c r="A124" s="6" t="s">
        <v>1133</v>
      </c>
      <c r="B124" s="6" t="n">
        <v>8</v>
      </c>
      <c r="C124" s="6" t="s">
        <v>1135</v>
      </c>
    </row>
    <row r="125" customFormat="false" ht="15" hidden="false" customHeight="false" outlineLevel="0" collapsed="false">
      <c r="A125" s="6" t="s">
        <v>1133</v>
      </c>
      <c r="B125" s="6" t="n">
        <v>9</v>
      </c>
      <c r="C125" s="6" t="s">
        <v>862</v>
      </c>
    </row>
    <row r="126" customFormat="false" ht="15" hidden="false" customHeight="false" outlineLevel="0" collapsed="false">
      <c r="A126" s="6" t="s">
        <v>1133</v>
      </c>
      <c r="B126" s="6" t="n">
        <v>10</v>
      </c>
      <c r="C126" s="6" t="s">
        <v>790</v>
      </c>
    </row>
    <row r="127" customFormat="false" ht="15" hidden="false" customHeight="false" outlineLevel="0" collapsed="false">
      <c r="A127" s="6" t="s">
        <v>1133</v>
      </c>
      <c r="B127" s="6" t="n">
        <v>11</v>
      </c>
      <c r="C127" s="6" t="s">
        <v>1136</v>
      </c>
    </row>
    <row r="128" customFormat="false" ht="15" hidden="false" customHeight="false" outlineLevel="0" collapsed="false">
      <c r="A128" s="6" t="s">
        <v>1133</v>
      </c>
      <c r="B128" s="6" t="n">
        <v>12</v>
      </c>
      <c r="C128" s="6" t="s">
        <v>1137</v>
      </c>
    </row>
    <row r="129" customFormat="false" ht="15" hidden="false" customHeight="false" outlineLevel="0" collapsed="false">
      <c r="A129" s="6" t="s">
        <v>1133</v>
      </c>
      <c r="B129" s="6" t="n">
        <v>13</v>
      </c>
      <c r="C129" s="6" t="s">
        <v>1138</v>
      </c>
    </row>
    <row r="130" customFormat="false" ht="15" hidden="false" customHeight="false" outlineLevel="0" collapsed="false">
      <c r="A130" s="6" t="s">
        <v>1133</v>
      </c>
      <c r="B130" s="6" t="n">
        <v>14</v>
      </c>
      <c r="C130" s="6" t="s">
        <v>1139</v>
      </c>
    </row>
    <row r="131" customFormat="false" ht="15" hidden="false" customHeight="false" outlineLevel="0" collapsed="false">
      <c r="A131" s="6" t="s">
        <v>1133</v>
      </c>
      <c r="B131" s="6" t="n">
        <v>15</v>
      </c>
      <c r="C131" s="6" t="s">
        <v>1140</v>
      </c>
    </row>
    <row r="132" customFormat="false" ht="15" hidden="false" customHeight="false" outlineLevel="0" collapsed="false">
      <c r="A132" s="6" t="s">
        <v>1133</v>
      </c>
      <c r="B132" s="6" t="n">
        <v>16</v>
      </c>
      <c r="C132" s="6" t="s">
        <v>1141</v>
      </c>
    </row>
    <row r="133" customFormat="false" ht="15" hidden="false" customHeight="false" outlineLevel="0" collapsed="false">
      <c r="A133" s="6" t="s">
        <v>1133</v>
      </c>
      <c r="B133" s="6" t="n">
        <v>17</v>
      </c>
      <c r="C133" s="6" t="s">
        <v>1142</v>
      </c>
    </row>
    <row r="134" customFormat="false" ht="15" hidden="false" customHeight="false" outlineLevel="0" collapsed="false">
      <c r="A134" s="6" t="s">
        <v>1133</v>
      </c>
      <c r="B134" s="6" t="n">
        <v>18</v>
      </c>
      <c r="C134" s="6" t="s">
        <v>1143</v>
      </c>
    </row>
    <row r="135" customFormat="false" ht="15" hidden="false" customHeight="false" outlineLevel="0" collapsed="false">
      <c r="A135" s="6" t="s">
        <v>1133</v>
      </c>
      <c r="B135" s="6" t="n">
        <v>19</v>
      </c>
      <c r="C135" s="6" t="s">
        <v>815</v>
      </c>
    </row>
    <row r="136" customFormat="false" ht="15" hidden="false" customHeight="false" outlineLevel="0" collapsed="false">
      <c r="A136" s="6" t="s">
        <v>1133</v>
      </c>
      <c r="B136" s="6" t="n">
        <v>20</v>
      </c>
      <c r="C136" s="6" t="s">
        <v>826</v>
      </c>
    </row>
    <row r="137" customFormat="false" ht="15" hidden="false" customHeight="false" outlineLevel="0" collapsed="false">
      <c r="A137" s="6" t="s">
        <v>1144</v>
      </c>
      <c r="B137" s="6" t="n">
        <v>1</v>
      </c>
      <c r="C137" s="6" t="s">
        <v>1145</v>
      </c>
    </row>
    <row r="138" customFormat="false" ht="15" hidden="false" customHeight="false" outlineLevel="0" collapsed="false">
      <c r="A138" s="6" t="s">
        <v>1144</v>
      </c>
      <c r="B138" s="6" t="n">
        <v>2</v>
      </c>
      <c r="C138" s="6" t="s">
        <v>1146</v>
      </c>
    </row>
    <row r="139" customFormat="false" ht="15" hidden="false" customHeight="false" outlineLevel="0" collapsed="false">
      <c r="A139" s="6" t="s">
        <v>1144</v>
      </c>
      <c r="B139" s="6" t="n">
        <v>3</v>
      </c>
      <c r="C139" s="6" t="s">
        <v>274</v>
      </c>
    </row>
    <row r="140" customFormat="false" ht="15" hidden="false" customHeight="false" outlineLevel="0" collapsed="false">
      <c r="A140" s="6" t="s">
        <v>1144</v>
      </c>
      <c r="B140" s="6" t="n">
        <v>4</v>
      </c>
      <c r="C140" s="6" t="s">
        <v>1127</v>
      </c>
    </row>
    <row r="141" customFormat="false" ht="15" hidden="false" customHeight="false" outlineLevel="0" collapsed="false">
      <c r="A141" s="6" t="s">
        <v>1144</v>
      </c>
      <c r="B141" s="6" t="n">
        <v>5</v>
      </c>
      <c r="C141" s="6" t="s">
        <v>708</v>
      </c>
    </row>
    <row r="142" customFormat="false" ht="15" hidden="false" customHeight="false" outlineLevel="0" collapsed="false">
      <c r="A142" s="6" t="s">
        <v>1144</v>
      </c>
      <c r="B142" s="6" t="n">
        <v>6</v>
      </c>
      <c r="C142" s="6" t="s">
        <v>1147</v>
      </c>
    </row>
    <row r="143" customFormat="false" ht="15" hidden="false" customHeight="false" outlineLevel="0" collapsed="false">
      <c r="A143" s="6" t="s">
        <v>1144</v>
      </c>
      <c r="B143" s="6" t="n">
        <v>7</v>
      </c>
      <c r="C143" s="6" t="s">
        <v>346</v>
      </c>
    </row>
    <row r="144" customFormat="false" ht="15" hidden="false" customHeight="false" outlineLevel="0" collapsed="false">
      <c r="A144" s="6" t="s">
        <v>1144</v>
      </c>
      <c r="B144" s="6" t="n">
        <v>8</v>
      </c>
      <c r="C144" s="6" t="s">
        <v>1128</v>
      </c>
    </row>
    <row r="145" customFormat="false" ht="15" hidden="false" customHeight="false" outlineLevel="0" collapsed="false">
      <c r="A145" s="6" t="s">
        <v>1144</v>
      </c>
      <c r="B145" s="6" t="n">
        <v>9</v>
      </c>
      <c r="C145" s="6" t="s">
        <v>1130</v>
      </c>
    </row>
    <row r="146" customFormat="false" ht="15" hidden="false" customHeight="false" outlineLevel="0" collapsed="false">
      <c r="A146" s="6" t="s">
        <v>1144</v>
      </c>
      <c r="B146" s="6" t="n">
        <v>10</v>
      </c>
      <c r="C146" s="6" t="s">
        <v>483</v>
      </c>
    </row>
    <row r="147" customFormat="false" ht="15" hidden="false" customHeight="false" outlineLevel="0" collapsed="false">
      <c r="A147" s="6" t="s">
        <v>1144</v>
      </c>
      <c r="B147" s="6" t="n">
        <v>11</v>
      </c>
      <c r="C147" s="6" t="s">
        <v>1148</v>
      </c>
    </row>
    <row r="148" customFormat="false" ht="15" hidden="false" customHeight="false" outlineLevel="0" collapsed="false">
      <c r="A148" s="6" t="s">
        <v>1144</v>
      </c>
      <c r="B148" s="6" t="n">
        <v>12</v>
      </c>
      <c r="C148" s="6" t="s">
        <v>531</v>
      </c>
    </row>
    <row r="149" customFormat="false" ht="15" hidden="false" customHeight="false" outlineLevel="0" collapsed="false">
      <c r="A149" s="6" t="s">
        <v>1144</v>
      </c>
      <c r="B149" s="6" t="n">
        <v>13</v>
      </c>
      <c r="C149" s="6" t="s">
        <v>1036</v>
      </c>
    </row>
    <row r="150" customFormat="false" ht="15" hidden="false" customHeight="false" outlineLevel="0" collapsed="false">
      <c r="A150" s="6" t="s">
        <v>1144</v>
      </c>
      <c r="B150" s="6" t="n">
        <v>14</v>
      </c>
      <c r="C150" s="6" t="s">
        <v>1149</v>
      </c>
    </row>
    <row r="151" customFormat="false" ht="15" hidden="false" customHeight="false" outlineLevel="0" collapsed="false">
      <c r="A151" s="6" t="s">
        <v>1144</v>
      </c>
      <c r="B151" s="6" t="n">
        <v>15</v>
      </c>
      <c r="C151" s="6" t="s">
        <v>259</v>
      </c>
    </row>
    <row r="152" customFormat="false" ht="15" hidden="false" customHeight="false" outlineLevel="0" collapsed="false">
      <c r="A152" s="6" t="s">
        <v>1144</v>
      </c>
      <c r="B152" s="6" t="n">
        <v>16</v>
      </c>
      <c r="C152" s="6" t="s">
        <v>745</v>
      </c>
    </row>
    <row r="153" customFormat="false" ht="15" hidden="false" customHeight="false" outlineLevel="0" collapsed="false">
      <c r="A153" s="6" t="s">
        <v>1144</v>
      </c>
      <c r="B153" s="6" t="n">
        <v>17</v>
      </c>
      <c r="C153" s="6" t="s">
        <v>1056</v>
      </c>
    </row>
    <row r="154" customFormat="false" ht="15" hidden="false" customHeight="false" outlineLevel="0" collapsed="false">
      <c r="A154" s="6" t="s">
        <v>1144</v>
      </c>
      <c r="B154" s="6" t="n">
        <v>18</v>
      </c>
      <c r="C154" s="6" t="s">
        <v>650</v>
      </c>
    </row>
    <row r="155" customFormat="false" ht="15" hidden="false" customHeight="false" outlineLevel="0" collapsed="false">
      <c r="A155" s="6" t="s">
        <v>1144</v>
      </c>
      <c r="B155" s="6" t="n">
        <v>19</v>
      </c>
      <c r="C155" s="6" t="s">
        <v>1150</v>
      </c>
    </row>
    <row r="156" customFormat="false" ht="15" hidden="false" customHeight="false" outlineLevel="0" collapsed="false">
      <c r="A156" s="6" t="s">
        <v>1144</v>
      </c>
      <c r="B156" s="6" t="n">
        <v>20</v>
      </c>
      <c r="C156" s="6" t="s">
        <v>870</v>
      </c>
    </row>
    <row r="157" customFormat="false" ht="15" hidden="false" customHeight="false" outlineLevel="0" collapsed="false">
      <c r="A157" s="6" t="s">
        <v>1151</v>
      </c>
      <c r="B157" s="6" t="n">
        <v>1</v>
      </c>
      <c r="C157" s="6" t="s">
        <v>1152</v>
      </c>
    </row>
    <row r="158" customFormat="false" ht="15" hidden="false" customHeight="false" outlineLevel="0" collapsed="false">
      <c r="A158" s="6" t="s">
        <v>1151</v>
      </c>
      <c r="B158" s="6" t="n">
        <v>2</v>
      </c>
      <c r="C158" s="6" t="s">
        <v>1153</v>
      </c>
    </row>
    <row r="159" customFormat="false" ht="15" hidden="false" customHeight="false" outlineLevel="0" collapsed="false">
      <c r="A159" s="6" t="s">
        <v>1151</v>
      </c>
      <c r="B159" s="6" t="n">
        <v>3</v>
      </c>
      <c r="C159" s="6" t="s">
        <v>1154</v>
      </c>
    </row>
    <row r="160" customFormat="false" ht="15" hidden="false" customHeight="false" outlineLevel="0" collapsed="false">
      <c r="A160" s="6" t="s">
        <v>1151</v>
      </c>
      <c r="B160" s="6" t="n">
        <v>4</v>
      </c>
      <c r="C160" s="6" t="s">
        <v>1155</v>
      </c>
    </row>
    <row r="161" customFormat="false" ht="15" hidden="false" customHeight="false" outlineLevel="0" collapsed="false">
      <c r="A161" s="6" t="s">
        <v>1151</v>
      </c>
      <c r="B161" s="6" t="n">
        <v>5</v>
      </c>
      <c r="C161" s="6" t="s">
        <v>1156</v>
      </c>
    </row>
    <row r="162" customFormat="false" ht="15" hidden="false" customHeight="false" outlineLevel="0" collapsed="false">
      <c r="A162" s="6" t="s">
        <v>1151</v>
      </c>
      <c r="B162" s="6" t="n">
        <v>6</v>
      </c>
      <c r="C162" s="6" t="s">
        <v>250</v>
      </c>
    </row>
    <row r="163" customFormat="false" ht="15" hidden="false" customHeight="false" outlineLevel="0" collapsed="false">
      <c r="A163" s="6" t="s">
        <v>1151</v>
      </c>
      <c r="B163" s="6" t="n">
        <v>7</v>
      </c>
      <c r="C163" s="6" t="s">
        <v>1157</v>
      </c>
    </row>
    <row r="164" customFormat="false" ht="15" hidden="false" customHeight="false" outlineLevel="0" collapsed="false">
      <c r="A164" s="6" t="s">
        <v>1151</v>
      </c>
      <c r="B164" s="6" t="n">
        <v>8</v>
      </c>
      <c r="C164" s="6" t="s">
        <v>1158</v>
      </c>
    </row>
    <row r="165" customFormat="false" ht="15" hidden="false" customHeight="false" outlineLevel="0" collapsed="false">
      <c r="A165" s="6" t="s">
        <v>1151</v>
      </c>
      <c r="B165" s="6" t="n">
        <v>9</v>
      </c>
      <c r="C165" s="6" t="s">
        <v>1159</v>
      </c>
    </row>
    <row r="166" customFormat="false" ht="15" hidden="false" customHeight="false" outlineLevel="0" collapsed="false">
      <c r="A166" s="6" t="s">
        <v>1151</v>
      </c>
      <c r="B166" s="6" t="n">
        <v>10</v>
      </c>
      <c r="C166" s="6" t="s">
        <v>336</v>
      </c>
    </row>
    <row r="167" customFormat="false" ht="15" hidden="false" customHeight="false" outlineLevel="0" collapsed="false">
      <c r="A167" s="6" t="s">
        <v>1151</v>
      </c>
      <c r="B167" s="6" t="n">
        <v>11</v>
      </c>
      <c r="C167" s="6" t="s">
        <v>1160</v>
      </c>
    </row>
    <row r="168" customFormat="false" ht="15" hidden="false" customHeight="false" outlineLevel="0" collapsed="false">
      <c r="A168" s="6" t="s">
        <v>1151</v>
      </c>
      <c r="B168" s="6" t="n">
        <v>12</v>
      </c>
      <c r="C168" s="6" t="s">
        <v>1161</v>
      </c>
    </row>
    <row r="169" customFormat="false" ht="15" hidden="false" customHeight="false" outlineLevel="0" collapsed="false">
      <c r="A169" s="6" t="s">
        <v>1151</v>
      </c>
      <c r="B169" s="6" t="n">
        <v>13</v>
      </c>
      <c r="C169" s="6" t="s">
        <v>1162</v>
      </c>
    </row>
    <row r="170" customFormat="false" ht="15" hidden="false" customHeight="false" outlineLevel="0" collapsed="false">
      <c r="A170" s="6" t="s">
        <v>1151</v>
      </c>
      <c r="B170" s="6" t="n">
        <v>14</v>
      </c>
      <c r="C170" s="6" t="s">
        <v>1163</v>
      </c>
    </row>
    <row r="171" customFormat="false" ht="15" hidden="false" customHeight="false" outlineLevel="0" collapsed="false">
      <c r="A171" s="6" t="s">
        <v>1151</v>
      </c>
      <c r="B171" s="6" t="n">
        <v>15</v>
      </c>
      <c r="C171" s="6" t="s">
        <v>1164</v>
      </c>
    </row>
    <row r="172" customFormat="false" ht="15" hidden="false" customHeight="false" outlineLevel="0" collapsed="false">
      <c r="A172" s="6" t="s">
        <v>1151</v>
      </c>
      <c r="B172" s="6" t="n">
        <v>16</v>
      </c>
      <c r="C172" s="6" t="s">
        <v>1165</v>
      </c>
    </row>
    <row r="173" customFormat="false" ht="15" hidden="false" customHeight="false" outlineLevel="0" collapsed="false">
      <c r="A173" s="6" t="s">
        <v>1151</v>
      </c>
      <c r="B173" s="6" t="n">
        <v>17</v>
      </c>
      <c r="C173" s="6" t="s">
        <v>1166</v>
      </c>
    </row>
    <row r="174" customFormat="false" ht="15" hidden="false" customHeight="false" outlineLevel="0" collapsed="false">
      <c r="A174" s="6" t="s">
        <v>1151</v>
      </c>
      <c r="B174" s="6" t="n">
        <v>18</v>
      </c>
      <c r="C174" s="6" t="s">
        <v>1167</v>
      </c>
    </row>
    <row r="175" customFormat="false" ht="15" hidden="false" customHeight="false" outlineLevel="0" collapsed="false">
      <c r="A175" s="6" t="s">
        <v>1151</v>
      </c>
      <c r="B175" s="6" t="n">
        <v>19</v>
      </c>
      <c r="C175" s="6" t="s">
        <v>1168</v>
      </c>
    </row>
    <row r="176" customFormat="false" ht="15" hidden="false" customHeight="false" outlineLevel="0" collapsed="false">
      <c r="A176" s="6" t="s">
        <v>1151</v>
      </c>
      <c r="B176" s="6" t="n">
        <v>20</v>
      </c>
      <c r="C176" s="6" t="s">
        <v>1169</v>
      </c>
    </row>
    <row r="177" customFormat="false" ht="15" hidden="false" customHeight="false" outlineLevel="0" collapsed="false">
      <c r="A177" s="6" t="s">
        <v>1170</v>
      </c>
      <c r="B177" s="6" t="n">
        <v>1</v>
      </c>
      <c r="C177" s="6" t="s">
        <v>1171</v>
      </c>
    </row>
    <row r="178" customFormat="false" ht="15" hidden="false" customHeight="false" outlineLevel="0" collapsed="false">
      <c r="A178" s="6" t="s">
        <v>1170</v>
      </c>
      <c r="B178" s="6" t="n">
        <v>2</v>
      </c>
      <c r="C178" s="6" t="s">
        <v>1172</v>
      </c>
    </row>
    <row r="179" customFormat="false" ht="15" hidden="false" customHeight="false" outlineLevel="0" collapsed="false">
      <c r="A179" s="6" t="s">
        <v>1170</v>
      </c>
      <c r="B179" s="6" t="n">
        <v>3</v>
      </c>
      <c r="C179" s="6" t="s">
        <v>1173</v>
      </c>
    </row>
    <row r="180" customFormat="false" ht="15" hidden="false" customHeight="false" outlineLevel="0" collapsed="false">
      <c r="A180" s="6" t="s">
        <v>1170</v>
      </c>
      <c r="B180" s="6" t="n">
        <v>4</v>
      </c>
      <c r="C180" s="6" t="s">
        <v>1174</v>
      </c>
    </row>
    <row r="181" customFormat="false" ht="15" hidden="false" customHeight="false" outlineLevel="0" collapsed="false">
      <c r="A181" s="6" t="s">
        <v>1170</v>
      </c>
      <c r="B181" s="6" t="n">
        <v>5</v>
      </c>
      <c r="C181" s="6" t="s">
        <v>1175</v>
      </c>
    </row>
    <row r="182" customFormat="false" ht="15" hidden="false" customHeight="false" outlineLevel="0" collapsed="false">
      <c r="A182" s="6" t="s">
        <v>1170</v>
      </c>
      <c r="B182" s="6" t="n">
        <v>6</v>
      </c>
      <c r="C182" s="6" t="s">
        <v>1176</v>
      </c>
    </row>
    <row r="183" customFormat="false" ht="15" hidden="false" customHeight="false" outlineLevel="0" collapsed="false">
      <c r="A183" s="6" t="s">
        <v>1170</v>
      </c>
      <c r="B183" s="6" t="n">
        <v>7</v>
      </c>
      <c r="C183" s="6" t="s">
        <v>1177</v>
      </c>
    </row>
    <row r="184" customFormat="false" ht="15" hidden="false" customHeight="false" outlineLevel="0" collapsed="false">
      <c r="A184" s="6" t="s">
        <v>1170</v>
      </c>
      <c r="B184" s="6" t="n">
        <v>8</v>
      </c>
      <c r="C184" s="6" t="s">
        <v>1178</v>
      </c>
    </row>
    <row r="185" customFormat="false" ht="15" hidden="false" customHeight="false" outlineLevel="0" collapsed="false">
      <c r="A185" s="6" t="s">
        <v>1170</v>
      </c>
      <c r="B185" s="6" t="n">
        <v>9</v>
      </c>
      <c r="C185" s="6" t="s">
        <v>1179</v>
      </c>
    </row>
    <row r="186" customFormat="false" ht="15" hidden="false" customHeight="false" outlineLevel="0" collapsed="false">
      <c r="A186" s="6" t="s">
        <v>1170</v>
      </c>
      <c r="B186" s="6" t="n">
        <v>10</v>
      </c>
      <c r="C186" s="6" t="s">
        <v>1180</v>
      </c>
    </row>
    <row r="187" customFormat="false" ht="15" hidden="false" customHeight="false" outlineLevel="0" collapsed="false">
      <c r="A187" s="6" t="s">
        <v>1170</v>
      </c>
      <c r="B187" s="6" t="n">
        <v>11</v>
      </c>
      <c r="C187" s="6" t="s">
        <v>1181</v>
      </c>
    </row>
    <row r="188" customFormat="false" ht="15" hidden="false" customHeight="false" outlineLevel="0" collapsed="false">
      <c r="A188" s="6" t="s">
        <v>1170</v>
      </c>
      <c r="B188" s="6" t="n">
        <v>12</v>
      </c>
      <c r="C188" s="6" t="s">
        <v>1182</v>
      </c>
    </row>
    <row r="189" customFormat="false" ht="15" hidden="false" customHeight="false" outlineLevel="0" collapsed="false">
      <c r="A189" s="6" t="s">
        <v>1170</v>
      </c>
      <c r="B189" s="6" t="n">
        <v>13</v>
      </c>
      <c r="C189" s="6" t="s">
        <v>1183</v>
      </c>
    </row>
    <row r="190" customFormat="false" ht="15" hidden="false" customHeight="false" outlineLevel="0" collapsed="false">
      <c r="A190" s="6" t="s">
        <v>1170</v>
      </c>
      <c r="B190" s="6" t="n">
        <v>14</v>
      </c>
      <c r="C190" s="6" t="s">
        <v>1184</v>
      </c>
    </row>
    <row r="191" customFormat="false" ht="15" hidden="false" customHeight="false" outlineLevel="0" collapsed="false">
      <c r="A191" s="6" t="s">
        <v>1170</v>
      </c>
      <c r="B191" s="6" t="n">
        <v>15</v>
      </c>
      <c r="C191" s="6" t="s">
        <v>1185</v>
      </c>
    </row>
    <row r="192" customFormat="false" ht="15" hidden="false" customHeight="false" outlineLevel="0" collapsed="false">
      <c r="A192" s="6" t="s">
        <v>1170</v>
      </c>
      <c r="B192" s="6" t="n">
        <v>16</v>
      </c>
      <c r="C192" s="6" t="s">
        <v>1186</v>
      </c>
    </row>
    <row r="193" customFormat="false" ht="15" hidden="false" customHeight="false" outlineLevel="0" collapsed="false">
      <c r="A193" s="6" t="s">
        <v>1170</v>
      </c>
      <c r="B193" s="6" t="n">
        <v>17</v>
      </c>
      <c r="C193" s="6" t="s">
        <v>1187</v>
      </c>
    </row>
    <row r="194" customFormat="false" ht="15" hidden="false" customHeight="false" outlineLevel="0" collapsed="false">
      <c r="A194" s="6" t="s">
        <v>1170</v>
      </c>
      <c r="B194" s="6" t="n">
        <v>18</v>
      </c>
      <c r="C194" s="6" t="s">
        <v>1188</v>
      </c>
    </row>
    <row r="195" customFormat="false" ht="15" hidden="false" customHeight="false" outlineLevel="0" collapsed="false">
      <c r="A195" s="6" t="s">
        <v>1170</v>
      </c>
      <c r="B195" s="6" t="n">
        <v>19</v>
      </c>
      <c r="C195" s="6" t="s">
        <v>1189</v>
      </c>
    </row>
    <row r="196" customFormat="false" ht="15" hidden="false" customHeight="false" outlineLevel="0" collapsed="false">
      <c r="A196" s="6" t="s">
        <v>1170</v>
      </c>
      <c r="B196" s="6" t="n">
        <v>20</v>
      </c>
      <c r="C196" s="6" t="s">
        <v>1190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0"/>
  </cols>
  <sheetData>
    <row r="1" customFormat="false" ht="15" hidden="false" customHeight="false" outlineLevel="0" collapsed="false">
      <c r="A1" s="5" t="s">
        <v>1018</v>
      </c>
      <c r="B1" s="5" t="s">
        <v>46</v>
      </c>
    </row>
    <row r="2" customFormat="false" ht="15" hidden="false" customHeight="false" outlineLevel="0" collapsed="false">
      <c r="A2" s="2" t="n">
        <v>1</v>
      </c>
      <c r="B2" s="4" t="s">
        <v>1191</v>
      </c>
    </row>
    <row r="3" customFormat="false" ht="15" hidden="false" customHeight="false" outlineLevel="0" collapsed="false">
      <c r="A3" s="2" t="n">
        <v>2</v>
      </c>
      <c r="B3" s="4" t="s">
        <v>1192</v>
      </c>
    </row>
    <row r="4" customFormat="false" ht="15" hidden="false" customHeight="false" outlineLevel="0" collapsed="false">
      <c r="A4" s="2" t="n">
        <v>3</v>
      </c>
      <c r="B4" s="4" t="s">
        <v>1193</v>
      </c>
    </row>
    <row r="5" customFormat="false" ht="15" hidden="false" customHeight="false" outlineLevel="0" collapsed="false">
      <c r="A5" s="2" t="n">
        <v>4</v>
      </c>
      <c r="B5" s="4" t="s">
        <v>1194</v>
      </c>
    </row>
    <row r="6" customFormat="false" ht="15" hidden="false" customHeight="false" outlineLevel="0" collapsed="false">
      <c r="A6" s="2" t="n">
        <v>5</v>
      </c>
      <c r="B6" s="4" t="s">
        <v>1195</v>
      </c>
    </row>
    <row r="7" customFormat="false" ht="15" hidden="false" customHeight="false" outlineLevel="0" collapsed="false">
      <c r="A7" s="2" t="n">
        <v>6</v>
      </c>
      <c r="B7" s="4" t="s">
        <v>1196</v>
      </c>
    </row>
    <row r="8" customFormat="false" ht="15" hidden="false" customHeight="false" outlineLevel="0" collapsed="false">
      <c r="A8" s="2" t="n">
        <v>7</v>
      </c>
      <c r="B8" s="4" t="s">
        <v>1197</v>
      </c>
    </row>
    <row r="9" customFormat="false" ht="15" hidden="false" customHeight="false" outlineLevel="0" collapsed="false">
      <c r="A9" s="2" t="n">
        <v>8</v>
      </c>
      <c r="B9" s="4" t="s">
        <v>1198</v>
      </c>
    </row>
    <row r="10" customFormat="false" ht="15" hidden="false" customHeight="false" outlineLevel="0" collapsed="false">
      <c r="A10" s="2" t="n">
        <v>9</v>
      </c>
      <c r="B10" s="4" t="s">
        <v>1199</v>
      </c>
    </row>
    <row r="11" customFormat="false" ht="15" hidden="false" customHeight="false" outlineLevel="0" collapsed="false">
      <c r="A11" s="2" t="n">
        <v>10</v>
      </c>
      <c r="B11" s="4" t="s">
        <v>1200</v>
      </c>
    </row>
    <row r="12" customFormat="false" ht="15" hidden="false" customHeight="false" outlineLevel="0" collapsed="false">
      <c r="A12" s="2" t="n">
        <v>11</v>
      </c>
      <c r="B12" s="4" t="s">
        <v>1201</v>
      </c>
    </row>
    <row r="13" customFormat="false" ht="15" hidden="false" customHeight="false" outlineLevel="0" collapsed="false">
      <c r="A13" s="2" t="n">
        <v>12</v>
      </c>
      <c r="B13" s="4" t="s">
        <v>1202</v>
      </c>
    </row>
    <row r="14" customFormat="false" ht="15" hidden="false" customHeight="false" outlineLevel="0" collapsed="false">
      <c r="A14" s="2" t="n">
        <v>13</v>
      </c>
      <c r="B14" s="4" t="s">
        <v>1203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2" t="s">
        <v>1204</v>
      </c>
    </row>
    <row r="2" customFormat="false" ht="15" hidden="false" customHeight="false" outlineLevel="0" collapsed="false">
      <c r="A2" s="2" t="s">
        <v>1205</v>
      </c>
    </row>
    <row r="3" customFormat="false" ht="15" hidden="false" customHeight="false" outlineLevel="0" collapsed="false">
      <c r="A3" s="2" t="s">
        <v>1206</v>
      </c>
    </row>
    <row r="4" customFormat="false" ht="15" hidden="false" customHeight="false" outlineLevel="0" collapsed="false">
      <c r="A4" s="2" t="s">
        <v>1207</v>
      </c>
    </row>
    <row r="5" customFormat="false" ht="15" hidden="false" customHeight="false" outlineLevel="0" collapsed="false">
      <c r="A5" s="2" t="s">
        <v>1208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2026-09-03T01:38:39Z</dcterms:created>
  <dc:creator>openpyxl</dc:creator>
  <dc:description/>
  <dc:language>en-US</dc:language>
  <cp:lastModifiedBy/>
  <dcterms:modified xsi:type="dcterms:W3CDTF">2026-09-03T01:38:39Z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